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1130" windowHeight="4330" firstSheet="3" activeTab="6"/>
  </bookViews>
  <sheets>
    <sheet name="Cleaned_data" sheetId="7" r:id="rId1"/>
    <sheet name="Form Responses 1" sheetId="1" r:id="rId2"/>
    <sheet name="Anlaysis" sheetId="6" r:id="rId3"/>
    <sheet name="pivot analysis" sheetId="8" r:id="rId4"/>
    <sheet name="Count of student on study level" sheetId="10" r:id="rId5"/>
    <sheet name="course stress and average" sheetId="14" r:id="rId6"/>
    <sheet name="Dashboard" sheetId="12" r:id="rId7"/>
  </sheets>
  <definedNames>
    <definedName name="ExternalData_1" localSheetId="0" hidden="1">Cleaned_data!$A$1:$R$39</definedName>
  </definedNames>
  <calcPr calcId="152511"/>
  <pivotCaches>
    <pivotCache cacheId="14" r:id="rId8"/>
  </pivotCaches>
</workbook>
</file>

<file path=xl/calcChain.xml><?xml version="1.0" encoding="utf-8"?>
<calcChain xmlns="http://schemas.openxmlformats.org/spreadsheetml/2006/main">
  <c r="G18" i="12" l="1"/>
  <c r="G22" i="12"/>
  <c r="G21" i="12"/>
  <c r="G20" i="12"/>
  <c r="G19" i="12"/>
  <c r="B11" i="6"/>
  <c r="B9" i="6"/>
  <c r="B7" i="6"/>
  <c r="S16" i="7"/>
  <c r="S17" i="7"/>
  <c r="S18" i="7"/>
  <c r="S19" i="7"/>
  <c r="S20" i="7"/>
  <c r="S2" i="7"/>
  <c r="S3" i="7"/>
  <c r="S21" i="7"/>
  <c r="S22" i="7"/>
  <c r="S4" i="7"/>
  <c r="S23" i="7"/>
  <c r="S5" i="7"/>
  <c r="S24" i="7"/>
  <c r="S6" i="7"/>
  <c r="S25" i="7"/>
  <c r="S7" i="7"/>
  <c r="S8" i="7"/>
  <c r="S26" i="7"/>
  <c r="S27" i="7"/>
  <c r="S28" i="7"/>
  <c r="S29" i="7"/>
  <c r="S30" i="7"/>
  <c r="S9" i="7"/>
  <c r="S31" i="7"/>
  <c r="S32" i="7"/>
  <c r="S33" i="7"/>
  <c r="S10" i="7"/>
  <c r="S11" i="7"/>
  <c r="S12" i="7"/>
  <c r="S34" i="7"/>
  <c r="S35" i="7"/>
  <c r="S36" i="7"/>
  <c r="S37" i="7"/>
  <c r="S38" i="7"/>
  <c r="S13" i="7"/>
  <c r="S14" i="7"/>
  <c r="S39" i="7"/>
  <c r="S15" i="7"/>
  <c r="B3" i="6"/>
  <c r="B2" i="6"/>
  <c r="B5" i="6" s="1"/>
  <c r="B1" i="6"/>
</calcChain>
</file>

<file path=xl/connections.xml><?xml version="1.0" encoding="utf-8"?>
<connections xmlns="http://schemas.openxmlformats.org/spreadsheetml/2006/main">
  <connection id="1" keepAlive="1" name="Query - Sheet1__2" description="Connection to the 'Sheet1__2' query in the workbook." type="5" refreshedVersion="5" background="1" saveData="1">
    <dbPr connection="provider=Microsoft.Mashup.OleDb.1;data source=$EmbeddedMashup(0b869ec6-e662-4988-bd04-bc039ac5a234)$;location=Sheet1__2;extended properties=&quot;UEsDBBQAAgAIAKhUQVz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KhUQV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oVEFcFISvO0MBAADBAgAAEwAcAEZvcm11bGFzL1NlY3Rpb24xLm0gohgAKKAUAAAAAAAAAAAAAAAAAAAAAAAAAAAAfVJda8IwFH0v9D+E7kWhCI6xF/HBlX0Ic4O1sAeRENu7NpgmLrkRpfjfl1QmjOjyEjjn3HPuvVwDJXIlSX76x5M4iiPTMA0VyRsAHFN6S6ZEAMYRcS9XVpfgkMd9CWKUWa1B4qfSm7VSm8GwW76xFqbJuThZHZeZkuhUq/TkcZNkDZO1iygOW0icWcHWAkaFZtJ8Kd1mSthWetIMToFp1yXeOEkJOpgg7PGYki6Z1R6bS7y/G/mCHnwGWYEOtHNpkKP1g9I++T/BxbTMNWNCOEdbHeiThm8LsjwE/AMYpAVvgaKivTiQeBb9Fq6Yv/jkX07adg26Z1+BacllTReAjaqC6jPPtltzwVuDCeGFQr5jfg0B9QE7bvx+ruTN5tQaVodjvEvBJdCdoZlgxmil2nC9DRMC3GX8bek4jCMuL97O5AdQSwECLQAUAAIACACoVEFcwUJQaaoAAAD6AAAAEgAAAAAAAAAAAAAAAAAAAAAAQ29uZmlnL1BhY2thZ2UueG1sUEsBAi0AFAACAAgAqFRBXA/K6aukAAAA6QAAABMAAAAAAAAAAAAAAAAA9gAAAFtDb250ZW50X1R5cGVzXS54bWxQSwECLQAUAAIACACoVEFcFISvO0MBAADBAgAAEwAAAAAAAAAAAAAAAADnAQAARm9ybXVsYXMvU2VjdGlvbjEubVBLBQYAAAAAAwADAMIAAAB3AwAAAAA=&quot;" command="SELECT * FROM [Sheet1__2]"/>
  </connection>
</connections>
</file>

<file path=xl/sharedStrings.xml><?xml version="1.0" encoding="utf-8"?>
<sst xmlns="http://schemas.openxmlformats.org/spreadsheetml/2006/main" count="1411" uniqueCount="256">
  <si>
    <t>Timestamp</t>
  </si>
  <si>
    <t>Name</t>
  </si>
  <si>
    <t>Age</t>
  </si>
  <si>
    <t>Gender</t>
  </si>
  <si>
    <t xml:space="preserve">Type of institution  </t>
  </si>
  <si>
    <t>Name of the institution</t>
  </si>
  <si>
    <t xml:space="preserve">  Which course are you currently pursuing?  </t>
  </si>
  <si>
    <t xml:space="preserve">  When do you usually study?  </t>
  </si>
  <si>
    <t xml:space="preserve">  When do you usually study best?  </t>
  </si>
  <si>
    <t>Do you follow Study timetable</t>
  </si>
  <si>
    <t xml:space="preserve">  How many hours do you study daily?   </t>
  </si>
  <si>
    <t xml:space="preserve">  Which learning method do you prefer the most?  </t>
  </si>
  <si>
    <t xml:space="preserve">  Do you use any learning apps or websites?  </t>
  </si>
  <si>
    <t>Do you fell strees during exams?</t>
  </si>
  <si>
    <t xml:space="preserve">  What motivates you to study?  </t>
  </si>
  <si>
    <t xml:space="preserve">  How do you revise before exams?  </t>
  </si>
  <si>
    <t>Do you use AI tools like ChatGPT for learning?</t>
  </si>
  <si>
    <t>Do you think online learning is better than classroom learning?</t>
  </si>
  <si>
    <t>What are the biggest challenges you face in learning?</t>
  </si>
  <si>
    <t xml:space="preserve">  What change would you like to see in the education system?  </t>
  </si>
  <si>
    <t xml:space="preserve">HARITHA A </t>
  </si>
  <si>
    <t>Female</t>
  </si>
  <si>
    <t>Private colle</t>
  </si>
  <si>
    <t xml:space="preserve">Karpagam college of engineering </t>
  </si>
  <si>
    <t>B.Tech</t>
  </si>
  <si>
    <t>Rarely</t>
  </si>
  <si>
    <t>Morning</t>
  </si>
  <si>
    <t>No</t>
  </si>
  <si>
    <t>Less than  1 hour</t>
  </si>
  <si>
    <t>Self study from Books</t>
  </si>
  <si>
    <t>Yes</t>
  </si>
  <si>
    <t xml:space="preserve">Nothing </t>
  </si>
  <si>
    <t>No revision</t>
  </si>
  <si>
    <t>YES</t>
  </si>
  <si>
    <t>No proper guidance</t>
  </si>
  <si>
    <t>Sometimes</t>
  </si>
  <si>
    <t>Online learning (YouTube, BYJU’S, etc.)</t>
  </si>
  <si>
    <t>Personal goals (dream job, rank)</t>
  </si>
  <si>
    <t>Reading notes</t>
  </si>
  <si>
    <t>Lack of concentration</t>
  </si>
  <si>
    <t>Nothing</t>
  </si>
  <si>
    <t>Harini. S</t>
  </si>
  <si>
    <t>Karpagam college of engineering</t>
  </si>
  <si>
    <t>During exam Times</t>
  </si>
  <si>
    <t>1-2</t>
  </si>
  <si>
    <t>Reading notes, Watching videos, Group study, Last-minute cramming</t>
  </si>
  <si>
    <t>Don't see talent via marks</t>
  </si>
  <si>
    <t xml:space="preserve">Jayadarsini RJ </t>
  </si>
  <si>
    <t xml:space="preserve">Karpagam college of engineering coimbatore </t>
  </si>
  <si>
    <t>Weekly</t>
  </si>
  <si>
    <t>Night</t>
  </si>
  <si>
    <t>Prithika. S</t>
  </si>
  <si>
    <t>B.E</t>
  </si>
  <si>
    <t>Daily</t>
  </si>
  <si>
    <t>Classroom teaching</t>
  </si>
  <si>
    <t>Parents</t>
  </si>
  <si>
    <t>NO</t>
  </si>
  <si>
    <t>Deepasri .A</t>
  </si>
  <si>
    <t xml:space="preserve">Karpagam College of Engineering </t>
  </si>
  <si>
    <t>Last-minute cramming</t>
  </si>
  <si>
    <t>I would like to give some important questions which would come to the end Semester</t>
  </si>
  <si>
    <t>Sanjai R</t>
  </si>
  <si>
    <t>Male</t>
  </si>
  <si>
    <t>Coaching Institute</t>
  </si>
  <si>
    <t xml:space="preserve">Katteri College </t>
  </si>
  <si>
    <t>Other</t>
  </si>
  <si>
    <t>Morning, Night</t>
  </si>
  <si>
    <t>2-4</t>
  </si>
  <si>
    <t>Reading notes, Group study, No revision</t>
  </si>
  <si>
    <t xml:space="preserve">Clear explanation </t>
  </si>
  <si>
    <t xml:space="preserve">Harini B </t>
  </si>
  <si>
    <t>4-6</t>
  </si>
  <si>
    <t>Lack of time</t>
  </si>
  <si>
    <t>No to teach just like that!</t>
  </si>
  <si>
    <t>Archana k</t>
  </si>
  <si>
    <t xml:space="preserve">Way of teaching </t>
  </si>
  <si>
    <t>Prakalya s</t>
  </si>
  <si>
    <t>KCE</t>
  </si>
  <si>
    <t>Difficulty understanding subjects</t>
  </si>
  <si>
    <t>Everything</t>
  </si>
  <si>
    <t>Gunavathi  B</t>
  </si>
  <si>
    <t>Refresh all</t>
  </si>
  <si>
    <t xml:space="preserve">Virtual class with teacher explanation </t>
  </si>
  <si>
    <t xml:space="preserve">Navitha AJ </t>
  </si>
  <si>
    <t>MALAVI.S</t>
  </si>
  <si>
    <t xml:space="preserve">KARPAGAM INSTITUTE OF TECHNOLOGY COIMBATORE </t>
  </si>
  <si>
    <t>Harini.A</t>
  </si>
  <si>
    <t>Practice tests</t>
  </si>
  <si>
    <t xml:space="preserve">Muthulakshmi </t>
  </si>
  <si>
    <t>Government college</t>
  </si>
  <si>
    <t>Sri vidhyamandhir</t>
  </si>
  <si>
    <t>M.Sc</t>
  </si>
  <si>
    <t>Reading notes, Group study, Practice tests, Last-minute cramming</t>
  </si>
  <si>
    <t xml:space="preserve">Free education </t>
  </si>
  <si>
    <t xml:space="preserve">Ramyadevi C </t>
  </si>
  <si>
    <t>Move class more interesting to learn</t>
  </si>
  <si>
    <t>Indian</t>
  </si>
  <si>
    <t xml:space="preserve">RPS VETERINARY COLLEGE </t>
  </si>
  <si>
    <t>Reading notes, No revision</t>
  </si>
  <si>
    <t>Environmental disturbance</t>
  </si>
  <si>
    <t>Everyone should get placement, whatever they learned for,. Government should take responsibilities 🤷🏻‍♂️</t>
  </si>
  <si>
    <t>Yalini s</t>
  </si>
  <si>
    <t xml:space="preserve">Annapoorna engineering college </t>
  </si>
  <si>
    <t>Evening</t>
  </si>
  <si>
    <t>Group Study</t>
  </si>
  <si>
    <t>Reading notes, Practice tests</t>
  </si>
  <si>
    <t xml:space="preserve">Increase offline education </t>
  </si>
  <si>
    <t>KAAVIYA S</t>
  </si>
  <si>
    <t xml:space="preserve">Karpagam college of engineering  </t>
  </si>
  <si>
    <t>Group study</t>
  </si>
  <si>
    <t>No change</t>
  </si>
  <si>
    <t xml:space="preserve">Priyadharshini Jayakumar </t>
  </si>
  <si>
    <t>Students should study soulfully...like they should be trained in a way that they could feel learning the things rather than reading</t>
  </si>
  <si>
    <t>Dhanush</t>
  </si>
  <si>
    <t>SHIVANI M</t>
  </si>
  <si>
    <t>ABHISHEK S</t>
  </si>
  <si>
    <t xml:space="preserve">KARPAGAM COLLEGE OF ENGINEERING </t>
  </si>
  <si>
    <t>Morning, Evening</t>
  </si>
  <si>
    <t>Fear of failure</t>
  </si>
  <si>
    <t>Reading notes, Watching videos</t>
  </si>
  <si>
    <t>Lack of motivation</t>
  </si>
  <si>
    <t>In education system all things want to change,like foreign countries.</t>
  </si>
  <si>
    <t xml:space="preserve">Hariharan </t>
  </si>
  <si>
    <t xml:space="preserve">Reduce syllabus </t>
  </si>
  <si>
    <t>Reading effort</t>
  </si>
  <si>
    <t>Savitha sri s</t>
  </si>
  <si>
    <t>Internet/device problems</t>
  </si>
  <si>
    <t>Teaching professor an ask questions</t>
  </si>
  <si>
    <t xml:space="preserve">Kalaiyarasi </t>
  </si>
  <si>
    <t xml:space="preserve">Anna University </t>
  </si>
  <si>
    <t>B.Sc</t>
  </si>
  <si>
    <t>Watching videos</t>
  </si>
  <si>
    <t>NEVER HEARD OF IT</t>
  </si>
  <si>
    <t xml:space="preserve">Teaching field </t>
  </si>
  <si>
    <t xml:space="preserve">Ponmitha V </t>
  </si>
  <si>
    <t>-</t>
  </si>
  <si>
    <t>Sowmya S</t>
  </si>
  <si>
    <t>Reading notes, Watching videos, Group study</t>
  </si>
  <si>
    <t xml:space="preserve">Need holidays atleast 2 Saturday in a month </t>
  </si>
  <si>
    <t>Kaviya  R</t>
  </si>
  <si>
    <t xml:space="preserve">Sri Vidya mandhir arts and science college </t>
  </si>
  <si>
    <t>Gayathiri R</t>
  </si>
  <si>
    <t xml:space="preserve">Selvam clg </t>
  </si>
  <si>
    <t xml:space="preserve">Nivetha R </t>
  </si>
  <si>
    <t xml:space="preserve">Education with No exam </t>
  </si>
  <si>
    <t>Shalini</t>
  </si>
  <si>
    <t xml:space="preserve">Sameena Hassin </t>
  </si>
  <si>
    <t>Dhiya</t>
  </si>
  <si>
    <t>Deepalakshmi S</t>
  </si>
  <si>
    <t>Dharshini K</t>
  </si>
  <si>
    <t>Government college of technology</t>
  </si>
  <si>
    <t>Evening, Night</t>
  </si>
  <si>
    <t>It would be much better when the subjects are explained  by using with the real world technology</t>
  </si>
  <si>
    <t>Shrisanth</t>
  </si>
  <si>
    <t xml:space="preserve">Karpagam college of Engineering </t>
  </si>
  <si>
    <t>Reading time</t>
  </si>
  <si>
    <t>R.Ramamoorthy</t>
  </si>
  <si>
    <t xml:space="preserve">Reading education no only practical education </t>
  </si>
  <si>
    <t xml:space="preserve">Ruthra S </t>
  </si>
  <si>
    <t>Time is tha biggest challenge for the education time</t>
  </si>
  <si>
    <t>Haritha A</t>
  </si>
  <si>
    <t>Karpagam College Of Engineering</t>
  </si>
  <si>
    <t>Self Study From Books</t>
  </si>
  <si>
    <t>No Revision</t>
  </si>
  <si>
    <t>No Proper Guidance</t>
  </si>
  <si>
    <t>Online Learning</t>
  </si>
  <si>
    <t>Personal Goals</t>
  </si>
  <si>
    <t>Reading Notes</t>
  </si>
  <si>
    <t>Lack Of Concentration</t>
  </si>
  <si>
    <t>During Exam Times</t>
  </si>
  <si>
    <t>Reading Notes, Watching Videos, Group Study, Last-Minute Cramming</t>
  </si>
  <si>
    <t>Jayadarsini Rj</t>
  </si>
  <si>
    <t>Karpagam College Of Engineering Coimbatore</t>
  </si>
  <si>
    <t>Classroom Teaching</t>
  </si>
  <si>
    <t>Last-Minute Cramming</t>
  </si>
  <si>
    <t>Katteri College</t>
  </si>
  <si>
    <t>Reading Notes, Group Study, No Revision</t>
  </si>
  <si>
    <t>Harini B</t>
  </si>
  <si>
    <t>Lack Of Time</t>
  </si>
  <si>
    <t>Archana K</t>
  </si>
  <si>
    <t>Prakalya S</t>
  </si>
  <si>
    <t>Difficulty Understanding Subjects</t>
  </si>
  <si>
    <t>Refresh All</t>
  </si>
  <si>
    <t>Navitha Aj</t>
  </si>
  <si>
    <t>Malavi.S</t>
  </si>
  <si>
    <t>Karpagam Institute Of Technology Coimbatore</t>
  </si>
  <si>
    <t>Practice Tests</t>
  </si>
  <si>
    <t>Muthulakshmi</t>
  </si>
  <si>
    <t>Government College</t>
  </si>
  <si>
    <t>Sri Vidhyamandhir</t>
  </si>
  <si>
    <t>Reading Notes, Group Study, Practice Tests, Last-Minute Cramming</t>
  </si>
  <si>
    <t>Ramyadevi C</t>
  </si>
  <si>
    <t>Rps Veterinary College</t>
  </si>
  <si>
    <t>Reading Notes, No Revision</t>
  </si>
  <si>
    <t>Environmental Disturbance</t>
  </si>
  <si>
    <t>Yalini S</t>
  </si>
  <si>
    <t>Annapoorna Engineering College</t>
  </si>
  <si>
    <t>Reading Notes, Practice Tests</t>
  </si>
  <si>
    <t>Kaaviya S</t>
  </si>
  <si>
    <t>Priyadharshini Jayakumar</t>
  </si>
  <si>
    <t>Shivani M</t>
  </si>
  <si>
    <t>Abhishek S</t>
  </si>
  <si>
    <t>Fear Of Failure</t>
  </si>
  <si>
    <t>Reading Notes, Watching Videos</t>
  </si>
  <si>
    <t>Lack Of Motivation</t>
  </si>
  <si>
    <t>Hariharan</t>
  </si>
  <si>
    <t>Savitha Sri S</t>
  </si>
  <si>
    <t>Internet/Device Problems</t>
  </si>
  <si>
    <t>Kalaiyarasi</t>
  </si>
  <si>
    <t>Anna University</t>
  </si>
  <si>
    <t>Watching Videos</t>
  </si>
  <si>
    <t>Ponmitha V</t>
  </si>
  <si>
    <t>Reading Notes, Watching Videos, Group Study</t>
  </si>
  <si>
    <t>Sri Vidya Mandhir Arts And Science College</t>
  </si>
  <si>
    <t>Selvam Clg</t>
  </si>
  <si>
    <t>Nivetha R</t>
  </si>
  <si>
    <t>Sameena Hassin</t>
  </si>
  <si>
    <t>Government College Of Technology</t>
  </si>
  <si>
    <t>Ruthra S</t>
  </si>
  <si>
    <t>Median</t>
  </si>
  <si>
    <t>Institution_Type</t>
  </si>
  <si>
    <t>Institution_Name</t>
  </si>
  <si>
    <t>Course</t>
  </si>
  <si>
    <t>Study_Frequency</t>
  </si>
  <si>
    <t>Best_Time_to_Study</t>
  </si>
  <si>
    <t>Timetable</t>
  </si>
  <si>
    <t>Study_Hours</t>
  </si>
  <si>
    <t>Learning_Method</t>
  </si>
  <si>
    <t>Learning_apps</t>
  </si>
  <si>
    <t>Stress</t>
  </si>
  <si>
    <t>Motivation</t>
  </si>
  <si>
    <t>Revision_Method</t>
  </si>
  <si>
    <t>AI_usage</t>
  </si>
  <si>
    <t>Online_vs_Classroom</t>
  </si>
  <si>
    <t>Challenges</t>
  </si>
  <si>
    <t>Private College</t>
  </si>
  <si>
    <t>Total Study Hours</t>
  </si>
  <si>
    <t>Average</t>
  </si>
  <si>
    <t>Weekly study hours</t>
  </si>
  <si>
    <t>Low</t>
  </si>
  <si>
    <t>High</t>
  </si>
  <si>
    <t>Study_level</t>
  </si>
  <si>
    <t>Grand Total</t>
  </si>
  <si>
    <t>Average of Study_Hours by stress Level</t>
  </si>
  <si>
    <t>Standard Deviation</t>
  </si>
  <si>
    <t>% of stressed students</t>
  </si>
  <si>
    <t>90th Percentile Study Hours</t>
  </si>
  <si>
    <t>Study level</t>
  </si>
  <si>
    <t>Count of students</t>
  </si>
  <si>
    <t>Total Students</t>
  </si>
  <si>
    <t>Average study Hours</t>
  </si>
  <si>
    <t>Median Study Hours</t>
  </si>
  <si>
    <t>Course Name</t>
  </si>
  <si>
    <t/>
  </si>
  <si>
    <t>Course average study hours with stress Level</t>
  </si>
  <si>
    <t>Student Study Habits and stress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</si>
</sst>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:ss"/>
    <numFmt numFmtId="165" formatCode="0.0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rgb="FF000000"/>
      <name val="Arial"/>
      <scheme val="minor"/>
    </font>
    <font>
      <sz val="25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 applyNumberFormat="1" applyFont="1" applyAlignment="1"/>
    <xf numFmtId="0" fontId="0" fillId="0" borderId="0" xfId="0" applyNumberFormat="1" applyFont="1" applyAlignment="1"/>
    <xf numFmtId="2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pivotButton="1" applyFont="1" applyBorder="1" applyAlignment="1"/>
    <xf numFmtId="0" fontId="0" fillId="0" borderId="5" xfId="0" applyFont="1" applyBorder="1" applyAlignment="1"/>
    <xf numFmtId="0" fontId="0" fillId="0" borderId="1" xfId="0" applyFont="1" applyBorder="1" applyAlignment="1">
      <alignment horizontal="left"/>
    </xf>
    <xf numFmtId="0" fontId="0" fillId="0" borderId="5" xfId="0" applyNumberFormat="1" applyFont="1" applyBorder="1" applyAlignment="1"/>
    <xf numFmtId="0" fontId="0" fillId="0" borderId="4" xfId="0" applyFont="1" applyBorder="1" applyAlignment="1">
      <alignment horizontal="left"/>
    </xf>
    <xf numFmtId="0" fontId="0" fillId="0" borderId="6" xfId="0" applyNumberFormat="1" applyFont="1" applyBorder="1" applyAlignment="1"/>
    <xf numFmtId="0" fontId="0" fillId="0" borderId="8" xfId="0" applyFont="1" applyBorder="1" applyAlignment="1">
      <alignment horizontal="left"/>
    </xf>
    <xf numFmtId="0" fontId="0" fillId="0" borderId="7" xfId="0" applyNumberFormat="1" applyFont="1" applyBorder="1" applyAlignment="1"/>
    <xf numFmtId="2" fontId="0" fillId="0" borderId="6" xfId="0" applyNumberFormat="1" applyFont="1" applyBorder="1" applyAlignment="1"/>
    <xf numFmtId="2" fontId="0" fillId="0" borderId="7" xfId="0" applyNumberFormat="1" applyFont="1" applyBorder="1" applyAlignment="1"/>
    <xf numFmtId="165" fontId="0" fillId="0" borderId="5" xfId="0" applyNumberFormat="1" applyFont="1" applyBorder="1" applyAlignment="1"/>
    <xf numFmtId="2" fontId="0" fillId="0" borderId="5" xfId="0" applyNumberFormat="1" applyFont="1" applyBorder="1" applyAlignment="1"/>
    <xf numFmtId="0" fontId="0" fillId="0" borderId="9" xfId="0" applyFont="1" applyBorder="1" applyAlignment="1"/>
    <xf numFmtId="2" fontId="0" fillId="0" borderId="4" xfId="0" applyNumberFormat="1" applyFont="1" applyBorder="1" applyAlignment="1"/>
    <xf numFmtId="2" fontId="0" fillId="0" borderId="10" xfId="0" applyNumberFormat="1" applyFont="1" applyBorder="1" applyAlignment="1"/>
    <xf numFmtId="2" fontId="0" fillId="0" borderId="8" xfId="0" applyNumberFormat="1" applyFont="1" applyBorder="1" applyAlignment="1"/>
    <xf numFmtId="2" fontId="0" fillId="0" borderId="11" xfId="0" applyNumberFormat="1" applyFont="1" applyBorder="1" applyAlignment="1"/>
    <xf numFmtId="9" fontId="0" fillId="0" borderId="0" xfId="1" applyFont="1" applyAlignment="1"/>
    <xf numFmtId="0" fontId="5" fillId="0" borderId="0" xfId="0" applyFont="1" applyAlignment="1"/>
    <xf numFmtId="2" fontId="0" fillId="0" borderId="1" xfId="0" applyNumberFormat="1" applyFont="1" applyBorder="1" applyAlignment="1"/>
    <xf numFmtId="2" fontId="0" fillId="0" borderId="9" xfId="0" applyNumberFormat="1" applyFont="1" applyBorder="1" applyAlignment="1"/>
    <xf numFmtId="0" fontId="4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3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Form Responses 1-style" pivot="0" count="4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TableStyleQueryPreview" pivot="0" count="3">
      <tableStyleElement type="wholeTable" dxfId="31"/>
      <tableStyleElement type="headerRow" dxfId="30"/>
      <tableStyleElement type="firstRowStripe" dxfId="29"/>
    </tableStyle>
    <tableStyle name="TableStyleQueryResult" pivot="0" count="3">
      <tableStyleElement type="wholeTable" dxfId="28"/>
      <tableStyleElement type="headerRow" dxfId="27"/>
      <tableStyleElement type="first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 form (Responses).xlsx]pivot analysis!PivotTable1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analysis'!$A$4:$A$7</c:f>
              <c:strCache>
                <c:ptCount val="3"/>
                <c:pt idx="0">
                  <c:v>No</c:v>
                </c:pt>
                <c:pt idx="1">
                  <c:v>Sometimes</c:v>
                </c:pt>
                <c:pt idx="2">
                  <c:v>Yes</c:v>
                </c:pt>
              </c:strCache>
            </c:strRef>
          </c:cat>
          <c:val>
            <c:numRef>
              <c:f>'pivot analysis'!$B$4:$B$7</c:f>
              <c:numCache>
                <c:formatCode>General</c:formatCode>
                <c:ptCount val="3"/>
                <c:pt idx="0">
                  <c:v>3.5</c:v>
                </c:pt>
                <c:pt idx="1">
                  <c:v>2</c:v>
                </c:pt>
                <c:pt idx="2">
                  <c:v>2.7142857142857144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46836032"/>
        <c:axId val="-1046835488"/>
      </c:barChart>
      <c:catAx>
        <c:axId val="-10468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6835488"/>
        <c:crosses val="autoZero"/>
        <c:auto val="1"/>
        <c:lblAlgn val="ctr"/>
        <c:lblOffset val="100"/>
        <c:noMultiLvlLbl val="0"/>
      </c:catAx>
      <c:valAx>
        <c:axId val="-10468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68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 form (Responses).xlsx]Count of student on study level!PivotTable3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the students based on study level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'Count of student on study level'!$B$3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'Count of student on study level'!$A$4:$A$6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'Count of student on study level'!$B$4:$B$6</c:f>
              <c:numCache>
                <c:formatCode>General</c:formatCode>
                <c:ptCount val="2"/>
                <c:pt idx="0">
                  <c:v>14</c:v>
                </c:pt>
                <c:pt idx="1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 form (Responses).xlsx]course stress and average!PivotTable4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'course stress and average'!$B$3:$B$4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'course stress and average'!$A$5:$A$10</c:f>
              <c:strCache>
                <c:ptCount val="5"/>
                <c:pt idx="0">
                  <c:v>B.E</c:v>
                </c:pt>
                <c:pt idx="1">
                  <c:v>B.Sc</c:v>
                </c:pt>
                <c:pt idx="2">
                  <c:v>B.Tech</c:v>
                </c:pt>
                <c:pt idx="3">
                  <c:v>M.Sc</c:v>
                </c:pt>
                <c:pt idx="4">
                  <c:v>Other</c:v>
                </c:pt>
              </c:strCache>
            </c:strRef>
          </c:cat>
          <c:val>
            <c:numRef>
              <c:f>'course stress and average'!$B$5:$B$10</c:f>
              <c:numCache>
                <c:formatCode>0.00</c:formatCode>
                <c:ptCount val="5"/>
                <c:pt idx="0">
                  <c:v>5</c:v>
                </c:pt>
                <c:pt idx="2">
                  <c:v>1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'course stress and average'!$C$3:$C$4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'course stress and average'!$A$5:$A$10</c:f>
              <c:strCache>
                <c:ptCount val="5"/>
                <c:pt idx="0">
                  <c:v>B.E</c:v>
                </c:pt>
                <c:pt idx="1">
                  <c:v>B.Sc</c:v>
                </c:pt>
                <c:pt idx="2">
                  <c:v>B.Tech</c:v>
                </c:pt>
                <c:pt idx="3">
                  <c:v>M.Sc</c:v>
                </c:pt>
                <c:pt idx="4">
                  <c:v>Other</c:v>
                </c:pt>
              </c:strCache>
            </c:strRef>
          </c:cat>
          <c:val>
            <c:numRef>
              <c:f>'course stress and average'!$C$5:$C$10</c:f>
              <c:numCache>
                <c:formatCode>0.00</c:formatCode>
                <c:ptCount val="5"/>
                <c:pt idx="0">
                  <c:v>3.3333333333333335</c:v>
                </c:pt>
                <c:pt idx="2">
                  <c:v>1.6363636363636365</c:v>
                </c:pt>
              </c:numCache>
            </c:numRef>
          </c:val>
        </c:ser>
        <c:ser>
          <c:idx val="2"/>
          <c:order val="2"/>
          <c:tx>
            <c:strRef>
              <c:f>'course stress and average'!$D$3:$D$4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'course stress and average'!$A$5:$A$10</c:f>
              <c:strCache>
                <c:ptCount val="5"/>
                <c:pt idx="0">
                  <c:v>B.E</c:v>
                </c:pt>
                <c:pt idx="1">
                  <c:v>B.Sc</c:v>
                </c:pt>
                <c:pt idx="2">
                  <c:v>B.Tech</c:v>
                </c:pt>
                <c:pt idx="3">
                  <c:v>M.Sc</c:v>
                </c:pt>
                <c:pt idx="4">
                  <c:v>Other</c:v>
                </c:pt>
              </c:strCache>
            </c:strRef>
          </c:cat>
          <c:val>
            <c:numRef>
              <c:f>'course stress and average'!$D$5:$D$10</c:f>
              <c:numCache>
                <c:formatCode>0.00</c:formatCode>
                <c:ptCount val="5"/>
                <c:pt idx="0">
                  <c:v>2.7</c:v>
                </c:pt>
                <c:pt idx="1">
                  <c:v>3</c:v>
                </c:pt>
                <c:pt idx="2">
                  <c:v>2.1818181818181817</c:v>
                </c:pt>
                <c:pt idx="3">
                  <c:v>4.5</c:v>
                </c:pt>
                <c:pt idx="4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877894832"/>
        <c:axId val="-877892656"/>
        <c:axId val="0"/>
      </c:bar3DChart>
      <c:catAx>
        <c:axId val="-8778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77892656"/>
        <c:crosses val="autoZero"/>
        <c:auto val="1"/>
        <c:lblAlgn val="ctr"/>
        <c:lblOffset val="100"/>
        <c:noMultiLvlLbl val="0"/>
      </c:catAx>
      <c:valAx>
        <c:axId val="-8778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778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 form (Responses).xlsx]Count of student on study level!PivotTable3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the students based on study level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'Count of student on study level'!$B$3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'Count of student on study level'!$A$4:$A$6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'Count of student on study level'!$B$4:$B$6</c:f>
              <c:numCache>
                <c:formatCode>General</c:formatCode>
                <c:ptCount val="2"/>
                <c:pt idx="0">
                  <c:v>14</c:v>
                </c:pt>
                <c:pt idx="1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 form (Responses).xlsx]pivot analysis!PivotTable1</c:name>
    <c:fmtId val="3"/>
  </c:pivotSource>
  <c:chart>
    <c:title>
      <c:layout>
        <c:manualLayout>
          <c:xMode val="edge"/>
          <c:yMode val="edge"/>
          <c:x val="0.39842216392727381"/>
          <c:y val="0.14463192100987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analysis'!$A$4:$A$7</c:f>
              <c:strCache>
                <c:ptCount val="3"/>
                <c:pt idx="0">
                  <c:v>No</c:v>
                </c:pt>
                <c:pt idx="1">
                  <c:v>Sometimes</c:v>
                </c:pt>
                <c:pt idx="2">
                  <c:v>Yes</c:v>
                </c:pt>
              </c:strCache>
            </c:strRef>
          </c:cat>
          <c:val>
            <c:numRef>
              <c:f>'pivot analysis'!$B$4:$B$7</c:f>
              <c:numCache>
                <c:formatCode>General</c:formatCode>
                <c:ptCount val="3"/>
                <c:pt idx="0">
                  <c:v>3.5</c:v>
                </c:pt>
                <c:pt idx="1">
                  <c:v>2</c:v>
                </c:pt>
                <c:pt idx="2">
                  <c:v>2.7142857142857144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80337776"/>
        <c:axId val="-880336144"/>
      </c:barChart>
      <c:catAx>
        <c:axId val="-88033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336144"/>
        <c:crosses val="autoZero"/>
        <c:auto val="1"/>
        <c:lblAlgn val="ctr"/>
        <c:lblOffset val="100"/>
        <c:noMultiLvlLbl val="0"/>
      </c:catAx>
      <c:valAx>
        <c:axId val="-8803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033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 form (Responses).xlsx]course stress and average!PivotTable4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'course stress and average'!$B$3:$B$4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'course stress and average'!$A$5:$A$10</c:f>
              <c:strCache>
                <c:ptCount val="5"/>
                <c:pt idx="0">
                  <c:v>B.E</c:v>
                </c:pt>
                <c:pt idx="1">
                  <c:v>B.Sc</c:v>
                </c:pt>
                <c:pt idx="2">
                  <c:v>B.Tech</c:v>
                </c:pt>
                <c:pt idx="3">
                  <c:v>M.Sc</c:v>
                </c:pt>
                <c:pt idx="4">
                  <c:v>Other</c:v>
                </c:pt>
              </c:strCache>
            </c:strRef>
          </c:cat>
          <c:val>
            <c:numRef>
              <c:f>'course stress and average'!$B$5:$B$10</c:f>
              <c:numCache>
                <c:formatCode>0.00</c:formatCode>
                <c:ptCount val="5"/>
                <c:pt idx="0">
                  <c:v>5</c:v>
                </c:pt>
                <c:pt idx="2">
                  <c:v>1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'course stress and average'!$C$3:$C$4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'course stress and average'!$A$5:$A$10</c:f>
              <c:strCache>
                <c:ptCount val="5"/>
                <c:pt idx="0">
                  <c:v>B.E</c:v>
                </c:pt>
                <c:pt idx="1">
                  <c:v>B.Sc</c:v>
                </c:pt>
                <c:pt idx="2">
                  <c:v>B.Tech</c:v>
                </c:pt>
                <c:pt idx="3">
                  <c:v>M.Sc</c:v>
                </c:pt>
                <c:pt idx="4">
                  <c:v>Other</c:v>
                </c:pt>
              </c:strCache>
            </c:strRef>
          </c:cat>
          <c:val>
            <c:numRef>
              <c:f>'course stress and average'!$C$5:$C$10</c:f>
              <c:numCache>
                <c:formatCode>0.00</c:formatCode>
                <c:ptCount val="5"/>
                <c:pt idx="0">
                  <c:v>3.3333333333333335</c:v>
                </c:pt>
                <c:pt idx="2">
                  <c:v>1.6363636363636365</c:v>
                </c:pt>
              </c:numCache>
            </c:numRef>
          </c:val>
        </c:ser>
        <c:ser>
          <c:idx val="2"/>
          <c:order val="2"/>
          <c:tx>
            <c:strRef>
              <c:f>'course stress and average'!$D$3:$D$4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'course stress and average'!$A$5:$A$10</c:f>
              <c:strCache>
                <c:ptCount val="5"/>
                <c:pt idx="0">
                  <c:v>B.E</c:v>
                </c:pt>
                <c:pt idx="1">
                  <c:v>B.Sc</c:v>
                </c:pt>
                <c:pt idx="2">
                  <c:v>B.Tech</c:v>
                </c:pt>
                <c:pt idx="3">
                  <c:v>M.Sc</c:v>
                </c:pt>
                <c:pt idx="4">
                  <c:v>Other</c:v>
                </c:pt>
              </c:strCache>
            </c:strRef>
          </c:cat>
          <c:val>
            <c:numRef>
              <c:f>'course stress and average'!$D$5:$D$10</c:f>
              <c:numCache>
                <c:formatCode>0.00</c:formatCode>
                <c:ptCount val="5"/>
                <c:pt idx="0">
                  <c:v>2.7</c:v>
                </c:pt>
                <c:pt idx="1">
                  <c:v>3</c:v>
                </c:pt>
                <c:pt idx="2">
                  <c:v>2.1818181818181817</c:v>
                </c:pt>
                <c:pt idx="3">
                  <c:v>4.5</c:v>
                </c:pt>
                <c:pt idx="4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052868304"/>
        <c:axId val="-1203253328"/>
        <c:axId val="0"/>
      </c:bar3DChart>
      <c:catAx>
        <c:axId val="-105286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3253328"/>
        <c:crosses val="autoZero"/>
        <c:auto val="1"/>
        <c:lblAlgn val="ctr"/>
        <c:lblOffset val="100"/>
        <c:noMultiLvlLbl val="0"/>
      </c:catAx>
      <c:valAx>
        <c:axId val="-120325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286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317499</xdr:colOff>
      <xdr:row>1</xdr:row>
      <xdr:rowOff>82550</xdr:rowOff>
    </xdr:from>
    <xdr:to>
      <xdr:col>7</xdr:col>
      <xdr:colOff>368300</xdr:colOff>
      <xdr:row>14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5</xdr:row>
      <xdr:rowOff>6350</xdr:rowOff>
    </xdr:from>
    <xdr:to>
      <xdr:col>10</xdr:col>
      <xdr:colOff>536575</xdr:colOff>
      <xdr:row>22</xdr:row>
      <xdr:rowOff>50800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10</xdr:row>
      <xdr:rowOff>120650</xdr:rowOff>
    </xdr:from>
    <xdr:to>
      <xdr:col>4</xdr:col>
      <xdr:colOff>688975</xdr:colOff>
      <xdr:row>28</xdr:row>
      <xdr:rowOff>6350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181401</xdr:colOff>
      <xdr:row>1</xdr:row>
      <xdr:rowOff>152021</xdr:rowOff>
    </xdr:from>
    <xdr:to>
      <xdr:col>8</xdr:col>
      <xdr:colOff>533968</xdr:colOff>
      <xdr:row>12</xdr:row>
      <xdr:rowOff>67102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104253</xdr:rowOff>
    </xdr:from>
    <xdr:to>
      <xdr:col>3</xdr:col>
      <xdr:colOff>578135</xdr:colOff>
      <xdr:row>14</xdr:row>
      <xdr:rowOff>18954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154864</xdr:rowOff>
    </xdr:from>
    <xdr:to>
      <xdr:col>4</xdr:col>
      <xdr:colOff>34973</xdr:colOff>
      <xdr:row>29</xdr:row>
      <xdr:rowOff>38194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54.45546203704" createdVersion="5" refreshedVersion="5" minRefreshableVersion="3" recordCount="38">
  <cacheSource type="worksheet">
    <worksheetSource name="Sheet1__3"/>
  </cacheSource>
  <cacheFields count="19">
    <cacheField name="Name" numFmtId="0">
      <sharedItems count="38">
        <s v="Haritha A"/>
        <s v="Harini. S"/>
        <s v="Jayadarsini Rj"/>
        <s v="Prithika. S"/>
        <s v="Deepasri .A"/>
        <s v="Sanjai R"/>
        <s v="Harini B"/>
        <s v="Archana K"/>
        <s v="Prakalya S"/>
        <s v="Gunavathi  B"/>
        <s v="Navitha Aj"/>
        <s v="Malavi.S"/>
        <s v="Harini.A"/>
        <s v="Muthulakshmi"/>
        <s v="Ramyadevi C"/>
        <s v="Indian"/>
        <s v="Yalini S"/>
        <s v="Kaaviya S"/>
        <s v="Priyadharshini Jayakumar"/>
        <s v="Dhanush"/>
        <s v="Shivani M"/>
        <s v="Abhishek S"/>
        <s v="Hariharan"/>
        <s v="Savitha Sri S"/>
        <s v="Kalaiyarasi"/>
        <s v="Ponmitha V"/>
        <s v="Sowmya S"/>
        <s v="Kaviya  R"/>
        <s v="Gayathiri R"/>
        <s v="Nivetha R"/>
        <s v="Shalini"/>
        <s v="Sameena Hassin"/>
        <s v="Dhiya"/>
        <s v="Deepalakshmi S"/>
        <s v="Dharshini K"/>
        <s v="Shrisanth"/>
        <s v="R.Ramamoorthy"/>
        <s v="Ruthra S"/>
      </sharedItems>
    </cacheField>
    <cacheField name="Age" numFmtId="0">
      <sharedItems containsSemiMixedTypes="0" containsString="0" containsNumber="1" containsInteger="1" minValue="16" maxValue="24"/>
    </cacheField>
    <cacheField name="Gender" numFmtId="0">
      <sharedItems/>
    </cacheField>
    <cacheField name="Institution_Type" numFmtId="0">
      <sharedItems/>
    </cacheField>
    <cacheField name="Institution_Name" numFmtId="0">
      <sharedItems/>
    </cacheField>
    <cacheField name="Course" numFmtId="0">
      <sharedItems count="5">
        <s v="B.Tech"/>
        <s v="B.E"/>
        <s v="Other"/>
        <s v="M.Sc"/>
        <s v="B.Sc"/>
      </sharedItems>
    </cacheField>
    <cacheField name="Study_Frequency" numFmtId="0">
      <sharedItems/>
    </cacheField>
    <cacheField name="Best_Time_to_Study" numFmtId="0">
      <sharedItems/>
    </cacheField>
    <cacheField name="Timetable" numFmtId="0">
      <sharedItems/>
    </cacheField>
    <cacheField name="Study_Hours" numFmtId="0">
      <sharedItems containsSemiMixedTypes="0" containsString="0" containsNumber="1" minValue="1" maxValue="5" count="4">
        <n v="1"/>
        <n v="1.5"/>
        <n v="4.5"/>
        <n v="5"/>
      </sharedItems>
    </cacheField>
    <cacheField name="Learning_Method" numFmtId="0">
      <sharedItems/>
    </cacheField>
    <cacheField name="Learning_apps" numFmtId="0">
      <sharedItems/>
    </cacheField>
    <cacheField name="Stress" numFmtId="0">
      <sharedItems count="3">
        <s v="Yes"/>
        <s v="No"/>
        <s v="Sometimes"/>
      </sharedItems>
    </cacheField>
    <cacheField name="Motivation" numFmtId="0">
      <sharedItems/>
    </cacheField>
    <cacheField name="Revision_Method" numFmtId="0">
      <sharedItems/>
    </cacheField>
    <cacheField name="AI_usage" numFmtId="0">
      <sharedItems/>
    </cacheField>
    <cacheField name="Online_vs_Classroom" numFmtId="0">
      <sharedItems/>
    </cacheField>
    <cacheField name="Challenges" numFmtId="0">
      <sharedItems/>
    </cacheField>
    <cacheField name="Study_level" numFmtId="0">
      <sharedItems count="2"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0"/>
    <n v="19"/>
    <s v="Female"/>
    <s v="Private College"/>
    <s v="Karpagam College Of Engineering"/>
    <x v="0"/>
    <s v="Rarely"/>
    <s v="Morning"/>
    <s v="No"/>
    <x v="0"/>
    <s v="Self Study From Books"/>
    <s v="Yes"/>
    <x v="0"/>
    <s v="Nothing"/>
    <s v="No Revision"/>
    <s v="Yes"/>
    <s v="Yes"/>
    <s v="No Proper Guidance"/>
    <x v="0"/>
  </r>
  <r>
    <x v="1"/>
    <n v="18"/>
    <s v="Female"/>
    <s v="Private College"/>
    <s v="Karpagam College Of Engineering"/>
    <x v="0"/>
    <s v="During Exam Times"/>
    <s v="Morning"/>
    <s v="Sometimes"/>
    <x v="1"/>
    <s v="Online Learning"/>
    <s v="Yes"/>
    <x v="0"/>
    <s v="Personal Goals"/>
    <s v="Reading Notes, Watching Videos, Group Study, Last-Minute Cramming"/>
    <s v="Yes"/>
    <s v="Yes"/>
    <s v="No Proper Guidance"/>
    <x v="0"/>
  </r>
  <r>
    <x v="2"/>
    <n v="19"/>
    <s v="Female"/>
    <s v="Private College"/>
    <s v="Karpagam College Of Engineering Coimbatore"/>
    <x v="0"/>
    <s v="Weekly"/>
    <s v="Night"/>
    <s v="Sometimes"/>
    <x v="0"/>
    <s v="Self Study From Books"/>
    <s v="Yes"/>
    <x v="0"/>
    <s v="Personal Goals"/>
    <s v="Reading Notes"/>
    <s v="Yes"/>
    <s v="No"/>
    <s v="Lack Of Concentration"/>
    <x v="0"/>
  </r>
  <r>
    <x v="3"/>
    <n v="18"/>
    <s v="Male"/>
    <s v="Private College"/>
    <s v="Karpagam College Of Engineering"/>
    <x v="1"/>
    <s v="Daily"/>
    <s v="Morning"/>
    <s v="No"/>
    <x v="1"/>
    <s v="Classroom Teaching"/>
    <s v="No"/>
    <x v="0"/>
    <s v="Parents"/>
    <s v="Reading Notes"/>
    <s v="No"/>
    <s v="No"/>
    <s v="No Proper Guidance"/>
    <x v="0"/>
  </r>
  <r>
    <x v="4"/>
    <n v="18"/>
    <s v="Female"/>
    <s v="Private College"/>
    <s v="Karpagam College Of Engineering"/>
    <x v="1"/>
    <s v="During Exam Times"/>
    <s v="Morning"/>
    <s v="Sometimes"/>
    <x v="1"/>
    <s v="Self Study From Books"/>
    <s v="No"/>
    <x v="0"/>
    <s v="Parents"/>
    <s v="Last-Minute Cramming"/>
    <s v="Yes"/>
    <s v="Yes"/>
    <s v="Lack Of Concentration"/>
    <x v="0"/>
  </r>
  <r>
    <x v="5"/>
    <n v="22"/>
    <s v="Male"/>
    <s v="Coaching Institute"/>
    <s v="Katteri College"/>
    <x v="2"/>
    <s v="Weekly"/>
    <s v="Morning, Night"/>
    <s v="No"/>
    <x v="2"/>
    <s v="Self Study From Books"/>
    <s v="Yes"/>
    <x v="0"/>
    <s v="Personal Goals"/>
    <s v="Reading Notes, Group Study, No Revision"/>
    <s v="No"/>
    <s v="No"/>
    <s v="No Proper Guidance"/>
    <x v="1"/>
  </r>
  <r>
    <x v="6"/>
    <n v="18"/>
    <s v="Female"/>
    <s v="Private College"/>
    <s v="Karpagam College Of Engineering"/>
    <x v="0"/>
    <s v="Daily"/>
    <s v="Night"/>
    <s v="Yes"/>
    <x v="3"/>
    <s v="Self Study From Books"/>
    <s v="Yes"/>
    <x v="0"/>
    <s v="Personal Goals"/>
    <s v="Reading Notes"/>
    <s v="Yes"/>
    <s v="Yes"/>
    <s v="Lack Of Time"/>
    <x v="1"/>
  </r>
  <r>
    <x v="7"/>
    <n v="18"/>
    <s v="Female"/>
    <s v="Private College"/>
    <s v="Karpagam College Of Engineering"/>
    <x v="0"/>
    <s v="During Exam Times"/>
    <s v="Morning"/>
    <s v="No"/>
    <x v="1"/>
    <s v="Online Learning"/>
    <s v="No"/>
    <x v="0"/>
    <s v="Personal Goals"/>
    <s v="Reading Notes"/>
    <s v="Yes"/>
    <s v="No"/>
    <s v="Lack Of Concentration"/>
    <x v="0"/>
  </r>
  <r>
    <x v="8"/>
    <n v="18"/>
    <s v="Female"/>
    <s v="Private College"/>
    <s v="Karpagam College Of Engineering"/>
    <x v="0"/>
    <s v="During Exam Times"/>
    <s v="Morning"/>
    <s v="No"/>
    <x v="0"/>
    <s v="Online Learning"/>
    <s v="Yes"/>
    <x v="1"/>
    <s v="Parents"/>
    <s v="Last-Minute Cramming"/>
    <s v="Yes"/>
    <s v="Yes"/>
    <s v="Difficulty Understanding Subjects"/>
    <x v="0"/>
  </r>
  <r>
    <x v="9"/>
    <n v="18"/>
    <s v="Female"/>
    <s v="Private College"/>
    <s v="Karpagam College Of Engineering"/>
    <x v="0"/>
    <s v="Weekly"/>
    <s v="Morning"/>
    <s v="Sometimes"/>
    <x v="2"/>
    <s v="Refresh All"/>
    <s v="No"/>
    <x v="0"/>
    <s v="Personal Goals"/>
    <s v="Reading Notes"/>
    <s v="Yes"/>
    <s v="No"/>
    <s v="Difficulty Understanding Subjects"/>
    <x v="1"/>
  </r>
  <r>
    <x v="10"/>
    <n v="18"/>
    <s v="Female"/>
    <s v="Private College"/>
    <s v="Karpagam College Of Engineering"/>
    <x v="0"/>
    <s v="During Exam Times"/>
    <s v="Morning"/>
    <s v="Sometimes"/>
    <x v="1"/>
    <s v="Classroom Teaching"/>
    <s v="No"/>
    <x v="2"/>
    <s v="Personal Goals"/>
    <s v="Reading Notes"/>
    <s v="Yes"/>
    <s v="No"/>
    <s v="No Proper Guidance"/>
    <x v="0"/>
  </r>
  <r>
    <x v="11"/>
    <n v="17"/>
    <s v="Female"/>
    <s v="Private College"/>
    <s v="Karpagam Institute Of Technology Coimbatore"/>
    <x v="1"/>
    <s v="Daily"/>
    <s v="Night"/>
    <s v="No"/>
    <x v="2"/>
    <s v="Self Study From Books"/>
    <s v="Yes"/>
    <x v="0"/>
    <s v="Personal Goals"/>
    <s v="Reading Notes"/>
    <s v="Yes"/>
    <s v="Yes"/>
    <s v="Lack Of Time"/>
    <x v="1"/>
  </r>
  <r>
    <x v="12"/>
    <n v="18"/>
    <s v="Female"/>
    <s v="Private College"/>
    <s v="Karpagam College Of Engineering"/>
    <x v="0"/>
    <s v="During Exam Times"/>
    <s v="Morning"/>
    <s v="No"/>
    <x v="0"/>
    <s v="Online Learning"/>
    <s v="Yes"/>
    <x v="0"/>
    <s v="Parents"/>
    <s v="Practice Tests"/>
    <s v="Yes"/>
    <s v="No"/>
    <s v="Lack Of Concentration"/>
    <x v="0"/>
  </r>
  <r>
    <x v="13"/>
    <n v="24"/>
    <s v="Female"/>
    <s v="Government College"/>
    <s v="Sri Vidhyamandhir"/>
    <x v="3"/>
    <s v="Rarely"/>
    <s v="Morning, Night"/>
    <s v="No"/>
    <x v="2"/>
    <s v="Online Learning"/>
    <s v="Yes"/>
    <x v="0"/>
    <s v="Personal Goals"/>
    <s v="Reading Notes, Group Study, Practice Tests, Last-Minute Cramming"/>
    <s v="Yes"/>
    <s v="Yes"/>
    <s v="Lack Of Concentration"/>
    <x v="1"/>
  </r>
  <r>
    <x v="14"/>
    <n v="18"/>
    <s v="Female"/>
    <s v="Private College"/>
    <s v="Karpagam College Of Engineering"/>
    <x v="0"/>
    <s v="During Exam Times"/>
    <s v="Morning"/>
    <s v="No"/>
    <x v="0"/>
    <s v="Classroom Teaching"/>
    <s v="Yes"/>
    <x v="0"/>
    <s v="Parents"/>
    <s v="Reading Notes"/>
    <s v="Yes"/>
    <s v="No"/>
    <s v="Lack Of Concentration"/>
    <x v="0"/>
  </r>
  <r>
    <x v="15"/>
    <n v="20"/>
    <s v="Male"/>
    <s v="Private College"/>
    <s v="Rps Veterinary College"/>
    <x v="2"/>
    <s v="During Exam Times"/>
    <s v="Morning, Night"/>
    <s v="No"/>
    <x v="2"/>
    <s v="Self Study From Books"/>
    <s v="No"/>
    <x v="0"/>
    <s v="Parents"/>
    <s v="Reading Notes, No Revision"/>
    <s v="Yes"/>
    <s v="No"/>
    <s v="Environmental Disturbance"/>
    <x v="1"/>
  </r>
  <r>
    <x v="16"/>
    <n v="18"/>
    <s v="Female"/>
    <s v="Private College"/>
    <s v="Annapoorna Engineering College"/>
    <x v="0"/>
    <s v="During Exam Times"/>
    <s v="Evening"/>
    <s v="No"/>
    <x v="2"/>
    <s v="Group Study"/>
    <s v="No"/>
    <x v="0"/>
    <s v="Personal Goals"/>
    <s v="Reading Notes, Practice Tests"/>
    <s v="Yes"/>
    <s v="No"/>
    <s v="Lack Of Concentration"/>
    <x v="1"/>
  </r>
  <r>
    <x v="17"/>
    <n v="18"/>
    <s v="Female"/>
    <s v="Private College"/>
    <s v="Karpagam College Of Engineering"/>
    <x v="0"/>
    <s v="During Exam Times"/>
    <s v="Morning"/>
    <s v="Sometimes"/>
    <x v="1"/>
    <s v="Group Study"/>
    <s v="Yes"/>
    <x v="0"/>
    <s v="Personal Goals"/>
    <s v="Group Study"/>
    <s v="Yes"/>
    <s v="No"/>
    <s v="Lack Of Concentration"/>
    <x v="0"/>
  </r>
  <r>
    <x v="18"/>
    <n v="19"/>
    <s v="Female"/>
    <s v="Private College"/>
    <s v="Karpagam College Of Engineering"/>
    <x v="0"/>
    <s v="During Exam Times"/>
    <s v="Morning"/>
    <s v="Sometimes"/>
    <x v="0"/>
    <s v="Self Study From Books"/>
    <s v="Yes"/>
    <x v="2"/>
    <s v="Personal Goals"/>
    <s v="Last-Minute Cramming"/>
    <s v="Yes"/>
    <s v="No"/>
    <s v="Lack Of Concentration"/>
    <x v="0"/>
  </r>
  <r>
    <x v="19"/>
    <n v="18"/>
    <s v="Male"/>
    <s v="Private College"/>
    <s v="Karpagam College Of Engineering"/>
    <x v="0"/>
    <s v="During Exam Times"/>
    <s v="Morning, Night"/>
    <s v="Sometimes"/>
    <x v="1"/>
    <s v="Classroom Teaching"/>
    <s v="Yes"/>
    <x v="2"/>
    <s v="Personal Goals"/>
    <s v="Reading Notes"/>
    <s v="Yes"/>
    <s v="No"/>
    <s v="Lack Of Concentration"/>
    <x v="0"/>
  </r>
  <r>
    <x v="20"/>
    <n v="18"/>
    <s v="Female"/>
    <s v="Private College"/>
    <s v="Karpagam College Of Engineering"/>
    <x v="0"/>
    <s v="Daily"/>
    <s v="Evening"/>
    <s v="No"/>
    <x v="1"/>
    <s v="Classroom Teaching"/>
    <s v="No"/>
    <x v="2"/>
    <s v="Personal Goals"/>
    <s v="Reading Notes"/>
    <s v="Yes"/>
    <s v="No"/>
    <s v="No Proper Guidance"/>
    <x v="0"/>
  </r>
  <r>
    <x v="21"/>
    <n v="18"/>
    <s v="Male"/>
    <s v="Private College"/>
    <s v="Karpagam College Of Engineering"/>
    <x v="1"/>
    <s v="During Exam Times"/>
    <s v="Morning, Evening"/>
    <s v="No"/>
    <x v="1"/>
    <s v="Online Learning"/>
    <s v="No"/>
    <x v="0"/>
    <s v="Fear Of Failure"/>
    <s v="Reading Notes, Watching Videos"/>
    <s v="Yes"/>
    <s v="Yes"/>
    <s v="Lack Of Motivation"/>
    <x v="0"/>
  </r>
  <r>
    <x v="22"/>
    <n v="19"/>
    <s v="Male"/>
    <s v="Private College"/>
    <s v="Karpagam College Of Engineering"/>
    <x v="1"/>
    <s v="Daily"/>
    <s v="Morning"/>
    <s v="Yes"/>
    <x v="3"/>
    <s v="Classroom Teaching"/>
    <s v="Yes"/>
    <x v="1"/>
    <s v="Personal Goals"/>
    <s v="Practice Tests"/>
    <s v="Yes"/>
    <s v="No"/>
    <s v="Difficulty Understanding Subjects"/>
    <x v="1"/>
  </r>
  <r>
    <x v="23"/>
    <n v="18"/>
    <s v="Female"/>
    <s v="Private College"/>
    <s v="Karpagam College Of Engineering"/>
    <x v="1"/>
    <s v="Daily"/>
    <s v="Evening"/>
    <s v="Yes"/>
    <x v="0"/>
    <s v="Classroom Teaching"/>
    <s v="No"/>
    <x v="2"/>
    <s v="Parents"/>
    <s v="Reading Notes"/>
    <s v="Yes"/>
    <s v="No"/>
    <s v="Internet/Device Problems"/>
    <x v="0"/>
  </r>
  <r>
    <x v="24"/>
    <n v="19"/>
    <s v="Female"/>
    <s v="Government College"/>
    <s v="Anna University"/>
    <x v="4"/>
    <s v="Weekly"/>
    <s v="Morning"/>
    <s v="No"/>
    <x v="1"/>
    <s v="Online Learning"/>
    <s v="Yes"/>
    <x v="0"/>
    <s v="Fear Of Failure"/>
    <s v="Watching Videos"/>
    <s v="No"/>
    <s v="No"/>
    <s v="Lack Of Concentration"/>
    <x v="0"/>
  </r>
  <r>
    <x v="25"/>
    <n v="17"/>
    <s v="Female"/>
    <s v="Private College"/>
    <s v="Karpagam College Of Engineering"/>
    <x v="0"/>
    <s v="Weekly"/>
    <s v="Night"/>
    <s v="No"/>
    <x v="1"/>
    <s v="Classroom Teaching"/>
    <s v="Yes"/>
    <x v="2"/>
    <s v="Fear Of Failure"/>
    <s v="Reading Notes"/>
    <s v="Yes"/>
    <s v="No"/>
    <s v="Lack Of Concentration"/>
    <x v="0"/>
  </r>
  <r>
    <x v="26"/>
    <n v="20"/>
    <s v="Female"/>
    <s v="Private College"/>
    <s v="Karpagam College Of Engineering"/>
    <x v="0"/>
    <s v="Rarely"/>
    <s v="Evening"/>
    <s v="No"/>
    <x v="2"/>
    <s v="Self Study From Books"/>
    <s v="Yes"/>
    <x v="2"/>
    <s v="Personal Goals"/>
    <s v="Reading Notes, Watching Videos, Group Study"/>
    <s v="Yes"/>
    <s v="Yes"/>
    <s v="Lack Of Time"/>
    <x v="1"/>
  </r>
  <r>
    <x v="27"/>
    <n v="20"/>
    <s v="Female"/>
    <s v="Private College"/>
    <s v="Sri Vidya Mandhir Arts And Science College"/>
    <x v="3"/>
    <s v="Daily"/>
    <s v="Morning"/>
    <s v="Yes"/>
    <x v="2"/>
    <s v="Group Study"/>
    <s v="Yes"/>
    <x v="1"/>
    <s v="Personal Goals"/>
    <s v="Reading Notes"/>
    <s v="Yes"/>
    <s v="Yes"/>
    <s v="Lack Of Concentration"/>
    <x v="1"/>
  </r>
  <r>
    <x v="28"/>
    <n v="20"/>
    <s v="Female"/>
    <s v="Government College"/>
    <s v="Selvam Clg"/>
    <x v="4"/>
    <s v="Daily"/>
    <s v="Morning"/>
    <s v="Sometimes"/>
    <x v="2"/>
    <s v="Classroom Teaching"/>
    <s v="No"/>
    <x v="0"/>
    <s v="Parents"/>
    <s v="Reading Notes"/>
    <s v="No"/>
    <s v="No"/>
    <s v="Lack Of Time"/>
    <x v="1"/>
  </r>
  <r>
    <x v="29"/>
    <n v="19"/>
    <s v="Female"/>
    <s v="Private College"/>
    <s v="Karpagam College Of Engineering"/>
    <x v="0"/>
    <s v="During Exam Times"/>
    <s v="Night"/>
    <s v="Sometimes"/>
    <x v="1"/>
    <s v="Online Learning"/>
    <s v="No"/>
    <x v="2"/>
    <s v="Parents"/>
    <s v="Reading Notes"/>
    <s v="Yes"/>
    <s v="Yes"/>
    <s v="Lack Of Time"/>
    <x v="0"/>
  </r>
  <r>
    <x v="30"/>
    <n v="18"/>
    <s v="Female"/>
    <s v="Private College"/>
    <s v="Karpagam College Of Engineering"/>
    <x v="0"/>
    <s v="During Exam Times"/>
    <s v="Night"/>
    <s v="No"/>
    <x v="0"/>
    <s v="Online Learning"/>
    <s v="Yes"/>
    <x v="2"/>
    <s v="Parents"/>
    <s v="Last-Minute Cramming"/>
    <s v="Yes"/>
    <s v="Yes"/>
    <s v="Lack Of Time"/>
    <x v="0"/>
  </r>
  <r>
    <x v="31"/>
    <n v="18"/>
    <s v="Female"/>
    <s v="Private College"/>
    <s v="Karpagam College Of Engineering"/>
    <x v="0"/>
    <s v="Weekly"/>
    <s v="Evening"/>
    <s v="No"/>
    <x v="1"/>
    <s v="Classroom Teaching"/>
    <s v="Yes"/>
    <x v="0"/>
    <s v="Personal Goals"/>
    <s v="Reading Notes"/>
    <s v="Yes"/>
    <s v="No"/>
    <s v="Lack Of Concentration"/>
    <x v="0"/>
  </r>
  <r>
    <x v="32"/>
    <n v="18"/>
    <s v="Female"/>
    <s v="Private College"/>
    <s v="Karpagam College Of Engineering"/>
    <x v="0"/>
    <s v="During Exam Times"/>
    <s v="Night"/>
    <s v="No"/>
    <x v="0"/>
    <s v="Online Learning"/>
    <s v="No"/>
    <x v="2"/>
    <s v="Personal Goals"/>
    <s v="Reading Notes"/>
    <s v="Yes"/>
    <s v="Yes"/>
    <s v="Lack Of Concentration"/>
    <x v="0"/>
  </r>
  <r>
    <x v="33"/>
    <n v="18"/>
    <s v="Female"/>
    <s v="Private College"/>
    <s v="Karpagam College Of Engineering"/>
    <x v="0"/>
    <s v="Rarely"/>
    <s v="Morning"/>
    <s v="Sometimes"/>
    <x v="1"/>
    <s v="Classroom Teaching"/>
    <s v="No"/>
    <x v="2"/>
    <s v="Personal Goals"/>
    <s v="Last-Minute Cramming"/>
    <s v="Yes"/>
    <s v="No"/>
    <s v="Lack Of Concentration"/>
    <x v="0"/>
  </r>
  <r>
    <x v="34"/>
    <n v="18"/>
    <s v="Female"/>
    <s v="Government College"/>
    <s v="Government College Of Technology"/>
    <x v="1"/>
    <s v="During Exam Times"/>
    <s v="Evening, Night"/>
    <s v="Sometimes"/>
    <x v="2"/>
    <s v="Classroom Teaching"/>
    <s v="Yes"/>
    <x v="2"/>
    <s v="Parents"/>
    <s v="Reading Notes"/>
    <s v="Yes"/>
    <s v="No"/>
    <s v="Lack Of Concentration"/>
    <x v="1"/>
  </r>
  <r>
    <x v="35"/>
    <n v="18"/>
    <s v="Male"/>
    <s v="Private College"/>
    <s v="Karpagam College Of Engineering"/>
    <x v="1"/>
    <s v="Daily"/>
    <s v="Morning"/>
    <s v="Yes"/>
    <x v="2"/>
    <s v="Classroom Teaching"/>
    <s v="Yes"/>
    <x v="0"/>
    <s v="Parents"/>
    <s v="Reading Notes"/>
    <s v="Yes"/>
    <s v="Yes"/>
    <s v="Lack Of Concentration"/>
    <x v="1"/>
  </r>
  <r>
    <x v="36"/>
    <n v="16"/>
    <s v="Male"/>
    <s v="Private College"/>
    <s v="Anna University"/>
    <x v="0"/>
    <s v="Daily"/>
    <s v="Morning"/>
    <s v="Sometimes"/>
    <x v="1"/>
    <s v="Self Study From Books"/>
    <s v="Yes"/>
    <x v="2"/>
    <s v="Fear Of Failure"/>
    <s v="Reading Notes, No Revision"/>
    <s v="No"/>
    <s v="Yes"/>
    <s v="No Proper Guidance"/>
    <x v="0"/>
  </r>
  <r>
    <x v="37"/>
    <n v="18"/>
    <s v="Female"/>
    <s v="Private College"/>
    <s v="Karpagam College Of Engineering"/>
    <x v="1"/>
    <s v="Daily"/>
    <s v="Morning"/>
    <s v="Yes"/>
    <x v="2"/>
    <s v="Classroom Teaching"/>
    <s v="No"/>
    <x v="2"/>
    <s v="Personal Goals"/>
    <s v="Reading Notes"/>
    <s v="Yes"/>
    <s v="No"/>
    <s v="Lack Of Tim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Stress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tudy_Hours by stress Level" fld="9" subtotal="average" baseField="12" baseItem="2"/>
  </dataFields>
  <formats count="4">
    <format dxfId="1">
      <pivotArea collapsedLevelsAreSubtotals="1" fieldPosition="0">
        <references count="1">
          <reference field="12" count="1">
            <x v="2"/>
          </reference>
        </references>
      </pivotArea>
    </format>
    <format dxfId="2">
      <pivotArea collapsedLevelsAreSubtotals="1" fieldPosition="0">
        <references count="1">
          <reference field="12" count="1">
            <x v="1"/>
          </reference>
        </references>
      </pivotArea>
    </format>
    <format dxfId="3">
      <pivotArea grandRow="1" outline="0" collapsedLevelsAreSubtotals="1" fieldPosition="0"/>
    </format>
    <format dxfId="4">
      <pivotArea collapsedLevelsAreSubtotals="1" fieldPosition="0">
        <references count="1">
          <reference field="12" count="1">
            <x v="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Study level">
  <location ref="A3:B6" firstHeaderRow="1" firstDataRow="1" firstDataCol="1"/>
  <pivotFields count="19">
    <pivotField dataField="1" showAll="0">
      <items count="39">
        <item x="21"/>
        <item x="7"/>
        <item x="33"/>
        <item x="4"/>
        <item x="19"/>
        <item x="34"/>
        <item x="32"/>
        <item x="28"/>
        <item x="9"/>
        <item x="22"/>
        <item x="6"/>
        <item x="1"/>
        <item x="12"/>
        <item x="0"/>
        <item x="15"/>
        <item x="2"/>
        <item x="17"/>
        <item x="24"/>
        <item x="27"/>
        <item x="11"/>
        <item x="13"/>
        <item x="10"/>
        <item x="29"/>
        <item x="25"/>
        <item x="8"/>
        <item x="3"/>
        <item x="18"/>
        <item x="36"/>
        <item x="14"/>
        <item x="37"/>
        <item x="31"/>
        <item x="5"/>
        <item x="23"/>
        <item x="30"/>
        <item x="20"/>
        <item x="35"/>
        <item x="26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unt of students" fld="0" subtotal="count" baseField="18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Course Name" colHeaderCaption="">
  <location ref="A3:E10" firstHeaderRow="1" firstDataRow="2" firstDataCol="1"/>
  <pivotFields count="19"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rse average study hours with stress Level" fld="9" subtotal="average" baseField="5" baseItem="0" numFmtId="2"/>
  </dataFields>
  <formats count="1">
    <format dxfId="0">
      <pivotArea outline="0" collapsedLevelsAreSubtotals="1" fieldPosition="0"/>
    </format>
  </format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0" unboundColumnsRight="1">
    <queryTableFields count="19">
      <queryTableField id="1" name="Name" tableColumnId="36"/>
      <queryTableField id="2" name="Age" tableColumnId="37"/>
      <queryTableField id="3" name="Gender" tableColumnId="38"/>
      <queryTableField id="4" name="Institution_Type" tableColumnId="39"/>
      <queryTableField id="5" name="Institution_Name" tableColumnId="40"/>
      <queryTableField id="6" name="Course" tableColumnId="41"/>
      <queryTableField id="7" name="Study_Frequency" tableColumnId="42"/>
      <queryTableField id="8" name="Best_Time_to_Study" tableColumnId="43"/>
      <queryTableField id="9" name="Timetable" tableColumnId="44"/>
      <queryTableField id="10" name="Study_Hours" tableColumnId="45"/>
      <queryTableField id="11" name="Learning_Method" tableColumnId="46"/>
      <queryTableField id="12" name="Learning_apps" tableColumnId="47"/>
      <queryTableField id="13" name="Stress" tableColumnId="48"/>
      <queryTableField id="14" name="Motivation" tableColumnId="49"/>
      <queryTableField id="15" name="Revision_Method" tableColumnId="50"/>
      <queryTableField id="16" name="AI_usage" tableColumnId="51"/>
      <queryTableField id="17" name="Online_vs_Classroom" tableColumnId="52"/>
      <queryTableField id="18" name="Challenges" tableColumnId="53"/>
      <queryTableField id="19" dataBound="0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5" name="Sheet1__3" displayName="Sheet1__3" ref="A1:S39" tableType="queryTable" totalsRowShown="0" headerRowDxfId="7" dataDxfId="6">
  <autoFilter ref="A1:S39"/>
  <sortState ref="A2:S39">
    <sortCondition ref="S1:S39"/>
  </sortState>
  <tableColumns count="19">
    <tableColumn id="36" uniqueName="36" name="Name" queryTableFieldId="1" dataDxfId="25"/>
    <tableColumn id="37" uniqueName="37" name="Age" queryTableFieldId="2" dataDxfId="24"/>
    <tableColumn id="38" uniqueName="38" name="Gender" queryTableFieldId="3" dataDxfId="23"/>
    <tableColumn id="39" uniqueName="39" name="Institution_Type" queryTableFieldId="4" dataDxfId="22"/>
    <tableColumn id="40" uniqueName="40" name="Institution_Name" queryTableFieldId="5" dataDxfId="21"/>
    <tableColumn id="41" uniqueName="41" name="Course" queryTableFieldId="6" dataDxfId="20"/>
    <tableColumn id="42" uniqueName="42" name="Study_Frequency" queryTableFieldId="7" dataDxfId="19"/>
    <tableColumn id="43" uniqueName="43" name="Best_Time_to_Study" queryTableFieldId="8" dataDxfId="18"/>
    <tableColumn id="44" uniqueName="44" name="Timetable" queryTableFieldId="9" dataDxfId="17"/>
    <tableColumn id="45" uniqueName="45" name="Study_Hours" queryTableFieldId="10" dataDxfId="16"/>
    <tableColumn id="46" uniqueName="46" name="Learning_Method" queryTableFieldId="11" dataDxfId="15"/>
    <tableColumn id="47" uniqueName="47" name="Learning_apps" queryTableFieldId="12" dataDxfId="14"/>
    <tableColumn id="48" uniqueName="48" name="Stress" queryTableFieldId="13" dataDxfId="13"/>
    <tableColumn id="49" uniqueName="49" name="Motivation" queryTableFieldId="14" dataDxfId="12"/>
    <tableColumn id="50" uniqueName="50" name="Revision_Method" queryTableFieldId="15" dataDxfId="11"/>
    <tableColumn id="51" uniqueName="51" name="AI_usage" queryTableFieldId="16" dataDxfId="10"/>
    <tableColumn id="52" uniqueName="52" name="Online_vs_Classroom" queryTableFieldId="17" dataDxfId="9"/>
    <tableColumn id="53" uniqueName="53" name="Challenges" queryTableFieldId="18" dataDxfId="8"/>
    <tableColumn id="54" uniqueName="54" name="Study_level" queryTableFieldId="19" dataDxfId="5">
      <calculatedColumnFormula>IF(J2&lt;2,"Low",IF(J2&lt;4,"Medium","High"))</calculatedColumnFormula>
    </tableColumn>
  </tableColumns>
  <tableStyleInfo name="Form Responses 1-style" showFirstColumn="0" showLastColumn="0" showRowStripes="1" showColumnStripes="0"/>
</table>
</file>

<file path=xl/tables/table2.xml><?xml version="1.0" encoding="utf-8"?>
<table xmlns="http://schemas.openxmlformats.org/spreadsheetml/2006/main" id="1" name="Form_Responses" displayName="Form_Responses" ref="A1:T42">
  <tableColumns count="20">
    <tableColumn id="1" name="Timestamp"/>
    <tableColumn id="2" name="Name"/>
    <tableColumn id="3" name="Age"/>
    <tableColumn id="4" name="Gender"/>
    <tableColumn id="5" name="Type of institution  "/>
    <tableColumn id="6" name="Name of the institution"/>
    <tableColumn id="7" name="  Which course are you currently pursuing?  "/>
    <tableColumn id="8" name="  When do you usually study?  "/>
    <tableColumn id="9" name="  When do you usually study best?  "/>
    <tableColumn id="10" name="Do you follow Study timetable"/>
    <tableColumn id="11" name="  How many hours do you study daily?   "/>
    <tableColumn id="12" name="  Which learning method do you prefer the most?  "/>
    <tableColumn id="13" name="  Do you use any learning apps or websites?  "/>
    <tableColumn id="14" name="Do you fell strees during exams?"/>
    <tableColumn id="15" name="  What motivates you to study?  "/>
    <tableColumn id="16" name="  How do you revise before exams?  "/>
    <tableColumn id="17" name="Do you use AI tools like ChatGPT for learning?"/>
    <tableColumn id="18" name="Do you think online learning is better than classroom learning?"/>
    <tableColumn id="19" name="What are the biggest challenges you face in learning?"/>
    <tableColumn id="20" name="  What change would you like to see in the education system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m.sc/" TargetMode="External"/><Relationship Id="rId2" Type="http://schemas.openxmlformats.org/officeDocument/2006/relationships/hyperlink" Target="http://b.sc/" TargetMode="External"/><Relationship Id="rId1" Type="http://schemas.openxmlformats.org/officeDocument/2006/relationships/hyperlink" Target="http://m.sc/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://b.sc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opLeftCell="A2" workbookViewId="0">
      <selection activeCell="C25" sqref="C25"/>
    </sheetView>
  </sheetViews>
  <sheetFormatPr defaultRowHeight="12.5"/>
  <cols>
    <col min="1" max="1" width="21.453125" bestFit="1" customWidth="1"/>
    <col min="2" max="2" width="6.36328125" bestFit="1" customWidth="1"/>
    <col min="3" max="3" width="9.453125" bestFit="1" customWidth="1"/>
    <col min="4" max="4" width="17.26953125" bestFit="1" customWidth="1"/>
    <col min="5" max="5" width="38.54296875" bestFit="1" customWidth="1"/>
    <col min="6" max="6" width="9.26953125" bestFit="1" customWidth="1"/>
    <col min="7" max="7" width="18.26953125" bestFit="1" customWidth="1"/>
    <col min="8" max="8" width="21.08984375" bestFit="1" customWidth="1"/>
    <col min="9" max="9" width="11.453125" bestFit="1" customWidth="1"/>
    <col min="10" max="10" width="14.26953125" bestFit="1" customWidth="1"/>
    <col min="11" max="11" width="19.453125" bestFit="1" customWidth="1"/>
    <col min="12" max="12" width="15.90625" bestFit="1" customWidth="1"/>
    <col min="13" max="13" width="9.7265625" bestFit="1" customWidth="1"/>
    <col min="14" max="14" width="13.1796875" bestFit="1" customWidth="1"/>
    <col min="15" max="15" width="58.36328125" bestFit="1" customWidth="1"/>
    <col min="16" max="16" width="10.90625" bestFit="1" customWidth="1"/>
    <col min="17" max="17" width="22" bestFit="1" customWidth="1"/>
    <col min="18" max="18" width="27.1796875" bestFit="1" customWidth="1"/>
    <col min="19" max="19" width="12.81640625" customWidth="1"/>
    <col min="20" max="20" width="9.453125" bestFit="1" customWidth="1"/>
    <col min="21" max="21" width="17.26953125" bestFit="1" customWidth="1"/>
    <col min="22" max="22" width="38.54296875" bestFit="1" customWidth="1"/>
    <col min="23" max="23" width="9.26953125" bestFit="1" customWidth="1"/>
    <col min="24" max="24" width="18.26953125" bestFit="1" customWidth="1"/>
    <col min="25" max="25" width="21.08984375" bestFit="1" customWidth="1"/>
    <col min="26" max="26" width="11.453125" bestFit="1" customWidth="1"/>
    <col min="27" max="27" width="14.26953125" bestFit="1" customWidth="1"/>
    <col min="28" max="28" width="19.453125" bestFit="1" customWidth="1"/>
    <col min="29" max="29" width="15.90625" bestFit="1" customWidth="1"/>
    <col min="30" max="30" width="9.7265625" bestFit="1" customWidth="1"/>
    <col min="31" max="31" width="13.1796875" bestFit="1" customWidth="1"/>
    <col min="32" max="32" width="58.36328125" bestFit="1" customWidth="1"/>
    <col min="33" max="33" width="10.90625" bestFit="1" customWidth="1"/>
    <col min="34" max="34" width="22" bestFit="1" customWidth="1"/>
    <col min="35" max="35" width="27.1796875" bestFit="1" customWidth="1"/>
  </cols>
  <sheetData>
    <row r="1" spans="1:19">
      <c r="A1" s="8" t="s">
        <v>1</v>
      </c>
      <c r="B1" s="8" t="s">
        <v>2</v>
      </c>
      <c r="C1" s="8" t="s">
        <v>3</v>
      </c>
      <c r="D1" s="8" t="s">
        <v>220</v>
      </c>
      <c r="E1" s="8" t="s">
        <v>221</v>
      </c>
      <c r="F1" s="8" t="s">
        <v>222</v>
      </c>
      <c r="G1" s="8" t="s">
        <v>223</v>
      </c>
      <c r="H1" s="8" t="s">
        <v>224</v>
      </c>
      <c r="I1" s="8" t="s">
        <v>225</v>
      </c>
      <c r="J1" s="8" t="s">
        <v>226</v>
      </c>
      <c r="K1" s="8" t="s">
        <v>227</v>
      </c>
      <c r="L1" s="8" t="s">
        <v>228</v>
      </c>
      <c r="M1" s="8" t="s">
        <v>229</v>
      </c>
      <c r="N1" s="8" t="s">
        <v>230</v>
      </c>
      <c r="O1" s="8" t="s">
        <v>231</v>
      </c>
      <c r="P1" s="8" t="s">
        <v>232</v>
      </c>
      <c r="Q1" s="8" t="s">
        <v>233</v>
      </c>
      <c r="R1" s="7" t="s">
        <v>234</v>
      </c>
      <c r="S1" s="8" t="s">
        <v>241</v>
      </c>
    </row>
    <row r="2" spans="1:19">
      <c r="A2" s="8" t="s">
        <v>61</v>
      </c>
      <c r="B2" s="8">
        <v>22</v>
      </c>
      <c r="C2" s="8" t="s">
        <v>62</v>
      </c>
      <c r="D2" s="8" t="s">
        <v>63</v>
      </c>
      <c r="E2" s="8" t="s">
        <v>175</v>
      </c>
      <c r="F2" s="8" t="s">
        <v>65</v>
      </c>
      <c r="G2" s="8" t="s">
        <v>49</v>
      </c>
      <c r="H2" s="8" t="s">
        <v>66</v>
      </c>
      <c r="I2" s="8" t="s">
        <v>27</v>
      </c>
      <c r="J2" s="8">
        <v>4.5</v>
      </c>
      <c r="K2" s="8" t="s">
        <v>162</v>
      </c>
      <c r="L2" s="8" t="s">
        <v>30</v>
      </c>
      <c r="M2" s="8" t="s">
        <v>30</v>
      </c>
      <c r="N2" s="8" t="s">
        <v>166</v>
      </c>
      <c r="O2" s="8" t="s">
        <v>176</v>
      </c>
      <c r="P2" s="8" t="s">
        <v>27</v>
      </c>
      <c r="Q2" s="8" t="s">
        <v>27</v>
      </c>
      <c r="R2" s="7" t="s">
        <v>164</v>
      </c>
      <c r="S2" s="8" t="str">
        <f>IF(J2&lt;2,"Low",IF(J2&lt;4,"Medium","High"))</f>
        <v>High</v>
      </c>
    </row>
    <row r="3" spans="1:19">
      <c r="A3" s="8" t="s">
        <v>177</v>
      </c>
      <c r="B3" s="8">
        <v>18</v>
      </c>
      <c r="C3" s="8" t="s">
        <v>21</v>
      </c>
      <c r="D3" s="8" t="s">
        <v>235</v>
      </c>
      <c r="E3" s="8" t="s">
        <v>161</v>
      </c>
      <c r="F3" s="8" t="s">
        <v>24</v>
      </c>
      <c r="G3" s="8" t="s">
        <v>53</v>
      </c>
      <c r="H3" s="8" t="s">
        <v>50</v>
      </c>
      <c r="I3" s="8" t="s">
        <v>30</v>
      </c>
      <c r="J3" s="8">
        <v>5</v>
      </c>
      <c r="K3" s="8" t="s">
        <v>162</v>
      </c>
      <c r="L3" s="8" t="s">
        <v>30</v>
      </c>
      <c r="M3" s="8" t="s">
        <v>30</v>
      </c>
      <c r="N3" s="8" t="s">
        <v>166</v>
      </c>
      <c r="O3" s="8" t="s">
        <v>167</v>
      </c>
      <c r="P3" s="8" t="s">
        <v>30</v>
      </c>
      <c r="Q3" s="8" t="s">
        <v>30</v>
      </c>
      <c r="R3" s="7" t="s">
        <v>178</v>
      </c>
      <c r="S3" s="8" t="str">
        <f>IF(J3&lt;2,"Low",IF(J3&lt;4,"Medium","High"))</f>
        <v>High</v>
      </c>
    </row>
    <row r="4" spans="1:19">
      <c r="A4" s="8" t="s">
        <v>80</v>
      </c>
      <c r="B4" s="8">
        <v>18</v>
      </c>
      <c r="C4" s="8" t="s">
        <v>21</v>
      </c>
      <c r="D4" s="8" t="s">
        <v>235</v>
      </c>
      <c r="E4" s="8" t="s">
        <v>161</v>
      </c>
      <c r="F4" s="8" t="s">
        <v>24</v>
      </c>
      <c r="G4" s="8" t="s">
        <v>49</v>
      </c>
      <c r="H4" s="8" t="s">
        <v>26</v>
      </c>
      <c r="I4" s="8" t="s">
        <v>35</v>
      </c>
      <c r="J4" s="8">
        <v>4.5</v>
      </c>
      <c r="K4" s="8" t="s">
        <v>182</v>
      </c>
      <c r="L4" s="8" t="s">
        <v>27</v>
      </c>
      <c r="M4" s="8" t="s">
        <v>30</v>
      </c>
      <c r="N4" s="8" t="s">
        <v>166</v>
      </c>
      <c r="O4" s="8" t="s">
        <v>167</v>
      </c>
      <c r="P4" s="8" t="s">
        <v>30</v>
      </c>
      <c r="Q4" s="8" t="s">
        <v>27</v>
      </c>
      <c r="R4" s="7" t="s">
        <v>181</v>
      </c>
      <c r="S4" s="8" t="str">
        <f>IF(J4&lt;2,"Low",IF(J4&lt;4,"Medium","High"))</f>
        <v>High</v>
      </c>
    </row>
    <row r="5" spans="1:19">
      <c r="A5" s="8" t="s">
        <v>184</v>
      </c>
      <c r="B5" s="8">
        <v>17</v>
      </c>
      <c r="C5" s="8" t="s">
        <v>21</v>
      </c>
      <c r="D5" s="8" t="s">
        <v>235</v>
      </c>
      <c r="E5" s="8" t="s">
        <v>185</v>
      </c>
      <c r="F5" s="8" t="s">
        <v>52</v>
      </c>
      <c r="G5" s="8" t="s">
        <v>53</v>
      </c>
      <c r="H5" s="8" t="s">
        <v>50</v>
      </c>
      <c r="I5" s="8" t="s">
        <v>27</v>
      </c>
      <c r="J5" s="8">
        <v>4.5</v>
      </c>
      <c r="K5" s="8" t="s">
        <v>162</v>
      </c>
      <c r="L5" s="8" t="s">
        <v>30</v>
      </c>
      <c r="M5" s="8" t="s">
        <v>30</v>
      </c>
      <c r="N5" s="8" t="s">
        <v>166</v>
      </c>
      <c r="O5" s="8" t="s">
        <v>167</v>
      </c>
      <c r="P5" s="8" t="s">
        <v>30</v>
      </c>
      <c r="Q5" s="8" t="s">
        <v>30</v>
      </c>
      <c r="R5" s="7" t="s">
        <v>178</v>
      </c>
      <c r="S5" s="8" t="str">
        <f>IF(J5&lt;2,"Low",IF(J5&lt;4,"Medium","High"))</f>
        <v>High</v>
      </c>
    </row>
    <row r="6" spans="1:19">
      <c r="A6" s="8" t="s">
        <v>187</v>
      </c>
      <c r="B6" s="8">
        <v>24</v>
      </c>
      <c r="C6" s="8" t="s">
        <v>21</v>
      </c>
      <c r="D6" s="8" t="s">
        <v>188</v>
      </c>
      <c r="E6" s="8" t="s">
        <v>189</v>
      </c>
      <c r="F6" s="8" t="s">
        <v>91</v>
      </c>
      <c r="G6" s="8" t="s">
        <v>25</v>
      </c>
      <c r="H6" s="8" t="s">
        <v>66</v>
      </c>
      <c r="I6" s="8" t="s">
        <v>27</v>
      </c>
      <c r="J6" s="8">
        <v>4.5</v>
      </c>
      <c r="K6" s="8" t="s">
        <v>165</v>
      </c>
      <c r="L6" s="8" t="s">
        <v>30</v>
      </c>
      <c r="M6" s="8" t="s">
        <v>30</v>
      </c>
      <c r="N6" s="8" t="s">
        <v>166</v>
      </c>
      <c r="O6" s="8" t="s">
        <v>190</v>
      </c>
      <c r="P6" s="8" t="s">
        <v>30</v>
      </c>
      <c r="Q6" s="8" t="s">
        <v>30</v>
      </c>
      <c r="R6" s="7" t="s">
        <v>168</v>
      </c>
      <c r="S6" s="8" t="str">
        <f>IF(J6&lt;2,"Low",IF(J6&lt;4,"Medium","High"))</f>
        <v>High</v>
      </c>
    </row>
    <row r="7" spans="1:19">
      <c r="A7" s="8" t="s">
        <v>96</v>
      </c>
      <c r="B7" s="8">
        <v>20</v>
      </c>
      <c r="C7" s="8" t="s">
        <v>62</v>
      </c>
      <c r="D7" s="8" t="s">
        <v>235</v>
      </c>
      <c r="E7" s="8" t="s">
        <v>192</v>
      </c>
      <c r="F7" s="8" t="s">
        <v>65</v>
      </c>
      <c r="G7" s="8" t="s">
        <v>169</v>
      </c>
      <c r="H7" s="8" t="s">
        <v>66</v>
      </c>
      <c r="I7" s="8" t="s">
        <v>27</v>
      </c>
      <c r="J7" s="8">
        <v>4.5</v>
      </c>
      <c r="K7" s="8" t="s">
        <v>162</v>
      </c>
      <c r="L7" s="8" t="s">
        <v>27</v>
      </c>
      <c r="M7" s="8" t="s">
        <v>30</v>
      </c>
      <c r="N7" s="8" t="s">
        <v>55</v>
      </c>
      <c r="O7" s="8" t="s">
        <v>193</v>
      </c>
      <c r="P7" s="8" t="s">
        <v>30</v>
      </c>
      <c r="Q7" s="8" t="s">
        <v>27</v>
      </c>
      <c r="R7" s="7" t="s">
        <v>194</v>
      </c>
      <c r="S7" s="8" t="str">
        <f>IF(J7&lt;2,"Low",IF(J7&lt;4,"Medium","High"))</f>
        <v>High</v>
      </c>
    </row>
    <row r="8" spans="1:19">
      <c r="A8" s="8" t="s">
        <v>195</v>
      </c>
      <c r="B8" s="8">
        <v>18</v>
      </c>
      <c r="C8" s="8" t="s">
        <v>21</v>
      </c>
      <c r="D8" s="8" t="s">
        <v>235</v>
      </c>
      <c r="E8" s="8" t="s">
        <v>196</v>
      </c>
      <c r="F8" s="8" t="s">
        <v>24</v>
      </c>
      <c r="G8" s="8" t="s">
        <v>169</v>
      </c>
      <c r="H8" s="8" t="s">
        <v>103</v>
      </c>
      <c r="I8" s="8" t="s">
        <v>27</v>
      </c>
      <c r="J8" s="8">
        <v>4.5</v>
      </c>
      <c r="K8" s="8" t="s">
        <v>104</v>
      </c>
      <c r="L8" s="8" t="s">
        <v>27</v>
      </c>
      <c r="M8" s="8" t="s">
        <v>30</v>
      </c>
      <c r="N8" s="8" t="s">
        <v>166</v>
      </c>
      <c r="O8" s="8" t="s">
        <v>197</v>
      </c>
      <c r="P8" s="8" t="s">
        <v>30</v>
      </c>
      <c r="Q8" s="8" t="s">
        <v>27</v>
      </c>
      <c r="R8" s="7" t="s">
        <v>168</v>
      </c>
      <c r="S8" s="8" t="str">
        <f>IF(J8&lt;2,"Low",IF(J8&lt;4,"Medium","High"))</f>
        <v>High</v>
      </c>
    </row>
    <row r="9" spans="1:19">
      <c r="A9" s="8" t="s">
        <v>205</v>
      </c>
      <c r="B9" s="8">
        <v>19</v>
      </c>
      <c r="C9" s="8" t="s">
        <v>62</v>
      </c>
      <c r="D9" s="8" t="s">
        <v>235</v>
      </c>
      <c r="E9" s="8" t="s">
        <v>161</v>
      </c>
      <c r="F9" s="8" t="s">
        <v>52</v>
      </c>
      <c r="G9" s="8" t="s">
        <v>53</v>
      </c>
      <c r="H9" s="8" t="s">
        <v>26</v>
      </c>
      <c r="I9" s="8" t="s">
        <v>30</v>
      </c>
      <c r="J9" s="8">
        <v>5</v>
      </c>
      <c r="K9" s="8" t="s">
        <v>173</v>
      </c>
      <c r="L9" s="8" t="s">
        <v>30</v>
      </c>
      <c r="M9" s="8" t="s">
        <v>27</v>
      </c>
      <c r="N9" s="8" t="s">
        <v>166</v>
      </c>
      <c r="O9" s="8" t="s">
        <v>186</v>
      </c>
      <c r="P9" s="8" t="s">
        <v>30</v>
      </c>
      <c r="Q9" s="8" t="s">
        <v>27</v>
      </c>
      <c r="R9" s="7" t="s">
        <v>181</v>
      </c>
      <c r="S9" s="8" t="str">
        <f>IF(J9&lt;2,"Low",IF(J9&lt;4,"Medium","High"))</f>
        <v>High</v>
      </c>
    </row>
    <row r="10" spans="1:19">
      <c r="A10" s="8" t="s">
        <v>136</v>
      </c>
      <c r="B10" s="8">
        <v>20</v>
      </c>
      <c r="C10" s="8" t="s">
        <v>21</v>
      </c>
      <c r="D10" s="8" t="s">
        <v>235</v>
      </c>
      <c r="E10" s="8" t="s">
        <v>161</v>
      </c>
      <c r="F10" s="8" t="s">
        <v>24</v>
      </c>
      <c r="G10" s="8" t="s">
        <v>25</v>
      </c>
      <c r="H10" s="8" t="s">
        <v>103</v>
      </c>
      <c r="I10" s="8" t="s">
        <v>27</v>
      </c>
      <c r="J10" s="8">
        <v>4.5</v>
      </c>
      <c r="K10" s="8" t="s">
        <v>162</v>
      </c>
      <c r="L10" s="8" t="s">
        <v>30</v>
      </c>
      <c r="M10" s="8" t="s">
        <v>35</v>
      </c>
      <c r="N10" s="8" t="s">
        <v>166</v>
      </c>
      <c r="O10" s="8" t="s">
        <v>212</v>
      </c>
      <c r="P10" s="8" t="s">
        <v>30</v>
      </c>
      <c r="Q10" s="8" t="s">
        <v>30</v>
      </c>
      <c r="R10" s="7" t="s">
        <v>178</v>
      </c>
      <c r="S10" s="8" t="str">
        <f>IF(J10&lt;2,"Low",IF(J10&lt;4,"Medium","High"))</f>
        <v>High</v>
      </c>
    </row>
    <row r="11" spans="1:19">
      <c r="A11" s="8" t="s">
        <v>139</v>
      </c>
      <c r="B11" s="8">
        <v>20</v>
      </c>
      <c r="C11" s="8" t="s">
        <v>21</v>
      </c>
      <c r="D11" s="8" t="s">
        <v>235</v>
      </c>
      <c r="E11" s="8" t="s">
        <v>213</v>
      </c>
      <c r="F11" s="8" t="s">
        <v>91</v>
      </c>
      <c r="G11" s="8" t="s">
        <v>53</v>
      </c>
      <c r="H11" s="8" t="s">
        <v>26</v>
      </c>
      <c r="I11" s="8" t="s">
        <v>30</v>
      </c>
      <c r="J11" s="8">
        <v>4.5</v>
      </c>
      <c r="K11" s="8" t="s">
        <v>104</v>
      </c>
      <c r="L11" s="8" t="s">
        <v>30</v>
      </c>
      <c r="M11" s="8" t="s">
        <v>27</v>
      </c>
      <c r="N11" s="8" t="s">
        <v>166</v>
      </c>
      <c r="O11" s="8" t="s">
        <v>167</v>
      </c>
      <c r="P11" s="8" t="s">
        <v>30</v>
      </c>
      <c r="Q11" s="8" t="s">
        <v>30</v>
      </c>
      <c r="R11" s="7" t="s">
        <v>168</v>
      </c>
      <c r="S11" s="8" t="str">
        <f>IF(J11&lt;2,"Low",IF(J11&lt;4,"Medium","High"))</f>
        <v>High</v>
      </c>
    </row>
    <row r="12" spans="1:19">
      <c r="A12" s="8" t="s">
        <v>141</v>
      </c>
      <c r="B12" s="8">
        <v>20</v>
      </c>
      <c r="C12" s="8" t="s">
        <v>21</v>
      </c>
      <c r="D12" s="8" t="s">
        <v>188</v>
      </c>
      <c r="E12" s="8" t="s">
        <v>214</v>
      </c>
      <c r="F12" s="8" t="s">
        <v>130</v>
      </c>
      <c r="G12" s="8" t="s">
        <v>53</v>
      </c>
      <c r="H12" s="8" t="s">
        <v>26</v>
      </c>
      <c r="I12" s="8" t="s">
        <v>35</v>
      </c>
      <c r="J12" s="8">
        <v>4.5</v>
      </c>
      <c r="K12" s="8" t="s">
        <v>173</v>
      </c>
      <c r="L12" s="8" t="s">
        <v>27</v>
      </c>
      <c r="M12" s="8" t="s">
        <v>30</v>
      </c>
      <c r="N12" s="8" t="s">
        <v>55</v>
      </c>
      <c r="O12" s="8" t="s">
        <v>167</v>
      </c>
      <c r="P12" s="8" t="s">
        <v>27</v>
      </c>
      <c r="Q12" s="8" t="s">
        <v>27</v>
      </c>
      <c r="R12" s="7" t="s">
        <v>178</v>
      </c>
      <c r="S12" s="8" t="str">
        <f>IF(J12&lt;2,"Low",IF(J12&lt;4,"Medium","High"))</f>
        <v>High</v>
      </c>
    </row>
    <row r="13" spans="1:19">
      <c r="A13" s="8" t="s">
        <v>149</v>
      </c>
      <c r="B13" s="8">
        <v>18</v>
      </c>
      <c r="C13" s="8" t="s">
        <v>21</v>
      </c>
      <c r="D13" s="8" t="s">
        <v>188</v>
      </c>
      <c r="E13" s="8" t="s">
        <v>217</v>
      </c>
      <c r="F13" s="8" t="s">
        <v>52</v>
      </c>
      <c r="G13" s="8" t="s">
        <v>169</v>
      </c>
      <c r="H13" s="8" t="s">
        <v>151</v>
      </c>
      <c r="I13" s="8" t="s">
        <v>35</v>
      </c>
      <c r="J13" s="8">
        <v>4.5</v>
      </c>
      <c r="K13" s="8" t="s">
        <v>173</v>
      </c>
      <c r="L13" s="8" t="s">
        <v>30</v>
      </c>
      <c r="M13" s="8" t="s">
        <v>35</v>
      </c>
      <c r="N13" s="8" t="s">
        <v>55</v>
      </c>
      <c r="O13" s="8" t="s">
        <v>167</v>
      </c>
      <c r="P13" s="8" t="s">
        <v>30</v>
      </c>
      <c r="Q13" s="8" t="s">
        <v>27</v>
      </c>
      <c r="R13" s="7" t="s">
        <v>168</v>
      </c>
      <c r="S13" s="8" t="str">
        <f>IF(J13&lt;2,"Low",IF(J13&lt;4,"Medium","High"))</f>
        <v>High</v>
      </c>
    </row>
    <row r="14" spans="1:19">
      <c r="A14" s="8" t="s">
        <v>153</v>
      </c>
      <c r="B14" s="8">
        <v>18</v>
      </c>
      <c r="C14" s="8" t="s">
        <v>62</v>
      </c>
      <c r="D14" s="8" t="s">
        <v>235</v>
      </c>
      <c r="E14" s="8" t="s">
        <v>161</v>
      </c>
      <c r="F14" s="8" t="s">
        <v>52</v>
      </c>
      <c r="G14" s="8" t="s">
        <v>53</v>
      </c>
      <c r="H14" s="8" t="s">
        <v>26</v>
      </c>
      <c r="I14" s="8" t="s">
        <v>30</v>
      </c>
      <c r="J14" s="8">
        <v>4.5</v>
      </c>
      <c r="K14" s="8" t="s">
        <v>173</v>
      </c>
      <c r="L14" s="8" t="s">
        <v>30</v>
      </c>
      <c r="M14" s="8" t="s">
        <v>30</v>
      </c>
      <c r="N14" s="8" t="s">
        <v>55</v>
      </c>
      <c r="O14" s="8" t="s">
        <v>167</v>
      </c>
      <c r="P14" s="8" t="s">
        <v>30</v>
      </c>
      <c r="Q14" s="8" t="s">
        <v>30</v>
      </c>
      <c r="R14" s="7" t="s">
        <v>168</v>
      </c>
      <c r="S14" s="8" t="str">
        <f>IF(J14&lt;2,"Low",IF(J14&lt;4,"Medium","High"))</f>
        <v>High</v>
      </c>
    </row>
    <row r="15" spans="1:19">
      <c r="A15" s="8" t="s">
        <v>218</v>
      </c>
      <c r="B15" s="8">
        <v>18</v>
      </c>
      <c r="C15" s="8" t="s">
        <v>21</v>
      </c>
      <c r="D15" s="8" t="s">
        <v>235</v>
      </c>
      <c r="E15" s="8" t="s">
        <v>161</v>
      </c>
      <c r="F15" s="8" t="s">
        <v>52</v>
      </c>
      <c r="G15" s="8" t="s">
        <v>53</v>
      </c>
      <c r="H15" s="8" t="s">
        <v>26</v>
      </c>
      <c r="I15" s="8" t="s">
        <v>30</v>
      </c>
      <c r="J15" s="8">
        <v>4.5</v>
      </c>
      <c r="K15" s="8" t="s">
        <v>173</v>
      </c>
      <c r="L15" s="8" t="s">
        <v>27</v>
      </c>
      <c r="M15" s="8" t="s">
        <v>35</v>
      </c>
      <c r="N15" s="8" t="s">
        <v>166</v>
      </c>
      <c r="O15" s="8" t="s">
        <v>167</v>
      </c>
      <c r="P15" s="8" t="s">
        <v>30</v>
      </c>
      <c r="Q15" s="8" t="s">
        <v>27</v>
      </c>
      <c r="R15" s="7" t="s">
        <v>178</v>
      </c>
      <c r="S15" s="8" t="str">
        <f>IF(J15&lt;2,"Low",IF(J15&lt;4,"Medium","High"))</f>
        <v>High</v>
      </c>
    </row>
    <row r="16" spans="1:19">
      <c r="A16" s="8" t="s">
        <v>160</v>
      </c>
      <c r="B16" s="8">
        <v>19</v>
      </c>
      <c r="C16" s="8" t="s">
        <v>21</v>
      </c>
      <c r="D16" s="8" t="s">
        <v>235</v>
      </c>
      <c r="E16" s="8" t="s">
        <v>161</v>
      </c>
      <c r="F16" s="8" t="s">
        <v>24</v>
      </c>
      <c r="G16" s="8" t="s">
        <v>25</v>
      </c>
      <c r="H16" s="8" t="s">
        <v>26</v>
      </c>
      <c r="I16" s="8" t="s">
        <v>27</v>
      </c>
      <c r="J16" s="8">
        <v>1</v>
      </c>
      <c r="K16" s="8" t="s">
        <v>162</v>
      </c>
      <c r="L16" s="8" t="s">
        <v>30</v>
      </c>
      <c r="M16" s="8" t="s">
        <v>30</v>
      </c>
      <c r="N16" s="8" t="s">
        <v>40</v>
      </c>
      <c r="O16" s="8" t="s">
        <v>163</v>
      </c>
      <c r="P16" s="8" t="s">
        <v>30</v>
      </c>
      <c r="Q16" s="8" t="s">
        <v>30</v>
      </c>
      <c r="R16" s="7" t="s">
        <v>164</v>
      </c>
      <c r="S16" s="8" t="str">
        <f>IF(J16&lt;2,"Low",IF(J16&lt;4,"Medium","High"))</f>
        <v>Low</v>
      </c>
    </row>
    <row r="17" spans="1:19">
      <c r="A17" s="8" t="s">
        <v>41</v>
      </c>
      <c r="B17" s="8">
        <v>18</v>
      </c>
      <c r="C17" s="8" t="s">
        <v>21</v>
      </c>
      <c r="D17" s="8" t="s">
        <v>235</v>
      </c>
      <c r="E17" s="8" t="s">
        <v>161</v>
      </c>
      <c r="F17" s="8" t="s">
        <v>24</v>
      </c>
      <c r="G17" s="8" t="s">
        <v>169</v>
      </c>
      <c r="H17" s="8" t="s">
        <v>26</v>
      </c>
      <c r="I17" s="8" t="s">
        <v>35</v>
      </c>
      <c r="J17" s="8">
        <v>1.5</v>
      </c>
      <c r="K17" s="8" t="s">
        <v>165</v>
      </c>
      <c r="L17" s="8" t="s">
        <v>30</v>
      </c>
      <c r="M17" s="8" t="s">
        <v>30</v>
      </c>
      <c r="N17" s="8" t="s">
        <v>166</v>
      </c>
      <c r="O17" s="8" t="s">
        <v>170</v>
      </c>
      <c r="P17" s="8" t="s">
        <v>30</v>
      </c>
      <c r="Q17" s="8" t="s">
        <v>30</v>
      </c>
      <c r="R17" s="7" t="s">
        <v>164</v>
      </c>
      <c r="S17" s="8" t="str">
        <f>IF(J17&lt;2,"Low",IF(J17&lt;4,"Medium","High"))</f>
        <v>Low</v>
      </c>
    </row>
    <row r="18" spans="1:19">
      <c r="A18" s="8" t="s">
        <v>171</v>
      </c>
      <c r="B18" s="8">
        <v>19</v>
      </c>
      <c r="C18" s="8" t="s">
        <v>21</v>
      </c>
      <c r="D18" s="8" t="s">
        <v>235</v>
      </c>
      <c r="E18" s="8" t="s">
        <v>172</v>
      </c>
      <c r="F18" s="8" t="s">
        <v>24</v>
      </c>
      <c r="G18" s="8" t="s">
        <v>49</v>
      </c>
      <c r="H18" s="8" t="s">
        <v>50</v>
      </c>
      <c r="I18" s="8" t="s">
        <v>35</v>
      </c>
      <c r="J18" s="8">
        <v>1</v>
      </c>
      <c r="K18" s="8" t="s">
        <v>162</v>
      </c>
      <c r="L18" s="8" t="s">
        <v>30</v>
      </c>
      <c r="M18" s="8" t="s">
        <v>30</v>
      </c>
      <c r="N18" s="8" t="s">
        <v>166</v>
      </c>
      <c r="O18" s="8" t="s">
        <v>167</v>
      </c>
      <c r="P18" s="8" t="s">
        <v>30</v>
      </c>
      <c r="Q18" s="8" t="s">
        <v>27</v>
      </c>
      <c r="R18" s="7" t="s">
        <v>168</v>
      </c>
      <c r="S18" s="8" t="str">
        <f>IF(J18&lt;2,"Low",IF(J18&lt;4,"Medium","High"))</f>
        <v>Low</v>
      </c>
    </row>
    <row r="19" spans="1:19">
      <c r="A19" s="8" t="s">
        <v>51</v>
      </c>
      <c r="B19" s="8">
        <v>18</v>
      </c>
      <c r="C19" s="8" t="s">
        <v>62</v>
      </c>
      <c r="D19" s="8" t="s">
        <v>235</v>
      </c>
      <c r="E19" s="8" t="s">
        <v>161</v>
      </c>
      <c r="F19" s="8" t="s">
        <v>52</v>
      </c>
      <c r="G19" s="8" t="s">
        <v>53</v>
      </c>
      <c r="H19" s="8" t="s">
        <v>26</v>
      </c>
      <c r="I19" s="8" t="s">
        <v>27</v>
      </c>
      <c r="J19" s="8">
        <v>1.5</v>
      </c>
      <c r="K19" s="8" t="s">
        <v>173</v>
      </c>
      <c r="L19" s="8" t="s">
        <v>27</v>
      </c>
      <c r="M19" s="8" t="s">
        <v>30</v>
      </c>
      <c r="N19" s="8" t="s">
        <v>55</v>
      </c>
      <c r="O19" s="8" t="s">
        <v>167</v>
      </c>
      <c r="P19" s="8" t="s">
        <v>27</v>
      </c>
      <c r="Q19" s="8" t="s">
        <v>27</v>
      </c>
      <c r="R19" s="7" t="s">
        <v>164</v>
      </c>
      <c r="S19" s="8" t="str">
        <f>IF(J19&lt;2,"Low",IF(J19&lt;4,"Medium","High"))</f>
        <v>Low</v>
      </c>
    </row>
    <row r="20" spans="1:19">
      <c r="A20" s="8" t="s">
        <v>57</v>
      </c>
      <c r="B20" s="8">
        <v>18</v>
      </c>
      <c r="C20" s="8" t="s">
        <v>21</v>
      </c>
      <c r="D20" s="8" t="s">
        <v>235</v>
      </c>
      <c r="E20" s="8" t="s">
        <v>161</v>
      </c>
      <c r="F20" s="8" t="s">
        <v>52</v>
      </c>
      <c r="G20" s="8" t="s">
        <v>169</v>
      </c>
      <c r="H20" s="8" t="s">
        <v>26</v>
      </c>
      <c r="I20" s="8" t="s">
        <v>35</v>
      </c>
      <c r="J20" s="8">
        <v>1.5</v>
      </c>
      <c r="K20" s="8" t="s">
        <v>162</v>
      </c>
      <c r="L20" s="8" t="s">
        <v>27</v>
      </c>
      <c r="M20" s="8" t="s">
        <v>30</v>
      </c>
      <c r="N20" s="8" t="s">
        <v>55</v>
      </c>
      <c r="O20" s="8" t="s">
        <v>174</v>
      </c>
      <c r="P20" s="8" t="s">
        <v>30</v>
      </c>
      <c r="Q20" s="8" t="s">
        <v>30</v>
      </c>
      <c r="R20" s="7" t="s">
        <v>168</v>
      </c>
      <c r="S20" s="8" t="str">
        <f>IF(J20&lt;2,"Low",IF(J20&lt;4,"Medium","High"))</f>
        <v>Low</v>
      </c>
    </row>
    <row r="21" spans="1:19">
      <c r="A21" s="8" t="s">
        <v>179</v>
      </c>
      <c r="B21" s="8">
        <v>18</v>
      </c>
      <c r="C21" s="8" t="s">
        <v>21</v>
      </c>
      <c r="D21" s="8" t="s">
        <v>235</v>
      </c>
      <c r="E21" s="8" t="s">
        <v>161</v>
      </c>
      <c r="F21" s="8" t="s">
        <v>24</v>
      </c>
      <c r="G21" s="8" t="s">
        <v>169</v>
      </c>
      <c r="H21" s="8" t="s">
        <v>26</v>
      </c>
      <c r="I21" s="8" t="s">
        <v>27</v>
      </c>
      <c r="J21" s="8">
        <v>1.5</v>
      </c>
      <c r="K21" s="8" t="s">
        <v>165</v>
      </c>
      <c r="L21" s="8" t="s">
        <v>27</v>
      </c>
      <c r="M21" s="8" t="s">
        <v>30</v>
      </c>
      <c r="N21" s="8" t="s">
        <v>166</v>
      </c>
      <c r="O21" s="8" t="s">
        <v>167</v>
      </c>
      <c r="P21" s="8" t="s">
        <v>30</v>
      </c>
      <c r="Q21" s="8" t="s">
        <v>27</v>
      </c>
      <c r="R21" s="7" t="s">
        <v>168</v>
      </c>
      <c r="S21" s="8" t="str">
        <f>IF(J21&lt;2,"Low",IF(J21&lt;4,"Medium","High"))</f>
        <v>Low</v>
      </c>
    </row>
    <row r="22" spans="1:19">
      <c r="A22" s="8" t="s">
        <v>180</v>
      </c>
      <c r="B22" s="8">
        <v>18</v>
      </c>
      <c r="C22" s="8" t="s">
        <v>21</v>
      </c>
      <c r="D22" s="8" t="s">
        <v>235</v>
      </c>
      <c r="E22" s="8" t="s">
        <v>161</v>
      </c>
      <c r="F22" s="8" t="s">
        <v>24</v>
      </c>
      <c r="G22" s="8" t="s">
        <v>169</v>
      </c>
      <c r="H22" s="8" t="s">
        <v>26</v>
      </c>
      <c r="I22" s="8" t="s">
        <v>27</v>
      </c>
      <c r="J22" s="8">
        <v>1</v>
      </c>
      <c r="K22" s="8" t="s">
        <v>165</v>
      </c>
      <c r="L22" s="8" t="s">
        <v>30</v>
      </c>
      <c r="M22" s="8" t="s">
        <v>27</v>
      </c>
      <c r="N22" s="8" t="s">
        <v>55</v>
      </c>
      <c r="O22" s="8" t="s">
        <v>174</v>
      </c>
      <c r="P22" s="8" t="s">
        <v>30</v>
      </c>
      <c r="Q22" s="8" t="s">
        <v>30</v>
      </c>
      <c r="R22" s="7" t="s">
        <v>181</v>
      </c>
      <c r="S22" s="8" t="str">
        <f>IF(J22&lt;2,"Low",IF(J22&lt;4,"Medium","High"))</f>
        <v>Low</v>
      </c>
    </row>
    <row r="23" spans="1:19">
      <c r="A23" s="8" t="s">
        <v>183</v>
      </c>
      <c r="B23" s="8">
        <v>18</v>
      </c>
      <c r="C23" s="8" t="s">
        <v>21</v>
      </c>
      <c r="D23" s="8" t="s">
        <v>235</v>
      </c>
      <c r="E23" s="8" t="s">
        <v>161</v>
      </c>
      <c r="F23" s="8" t="s">
        <v>24</v>
      </c>
      <c r="G23" s="8" t="s">
        <v>169</v>
      </c>
      <c r="H23" s="8" t="s">
        <v>26</v>
      </c>
      <c r="I23" s="8" t="s">
        <v>35</v>
      </c>
      <c r="J23" s="8">
        <v>1.5</v>
      </c>
      <c r="K23" s="8" t="s">
        <v>173</v>
      </c>
      <c r="L23" s="8" t="s">
        <v>27</v>
      </c>
      <c r="M23" s="8" t="s">
        <v>35</v>
      </c>
      <c r="N23" s="8" t="s">
        <v>166</v>
      </c>
      <c r="O23" s="8" t="s">
        <v>167</v>
      </c>
      <c r="P23" s="8" t="s">
        <v>30</v>
      </c>
      <c r="Q23" s="8" t="s">
        <v>27</v>
      </c>
      <c r="R23" s="7" t="s">
        <v>164</v>
      </c>
      <c r="S23" s="8" t="str">
        <f>IF(J23&lt;2,"Low",IF(J23&lt;4,"Medium","High"))</f>
        <v>Low</v>
      </c>
    </row>
    <row r="24" spans="1:19">
      <c r="A24" s="8" t="s">
        <v>86</v>
      </c>
      <c r="B24" s="8">
        <v>18</v>
      </c>
      <c r="C24" s="8" t="s">
        <v>21</v>
      </c>
      <c r="D24" s="8" t="s">
        <v>235</v>
      </c>
      <c r="E24" s="8" t="s">
        <v>161</v>
      </c>
      <c r="F24" s="8" t="s">
        <v>24</v>
      </c>
      <c r="G24" s="8" t="s">
        <v>169</v>
      </c>
      <c r="H24" s="8" t="s">
        <v>26</v>
      </c>
      <c r="I24" s="8" t="s">
        <v>27</v>
      </c>
      <c r="J24" s="8">
        <v>1</v>
      </c>
      <c r="K24" s="8" t="s">
        <v>165</v>
      </c>
      <c r="L24" s="8" t="s">
        <v>30</v>
      </c>
      <c r="M24" s="8" t="s">
        <v>30</v>
      </c>
      <c r="N24" s="8" t="s">
        <v>55</v>
      </c>
      <c r="O24" s="8" t="s">
        <v>186</v>
      </c>
      <c r="P24" s="8" t="s">
        <v>30</v>
      </c>
      <c r="Q24" s="8" t="s">
        <v>27</v>
      </c>
      <c r="R24" s="7" t="s">
        <v>168</v>
      </c>
      <c r="S24" s="8" t="str">
        <f>IF(J24&lt;2,"Low",IF(J24&lt;4,"Medium","High"))</f>
        <v>Low</v>
      </c>
    </row>
    <row r="25" spans="1:19">
      <c r="A25" s="8" t="s">
        <v>191</v>
      </c>
      <c r="B25" s="8">
        <v>18</v>
      </c>
      <c r="C25" s="8" t="s">
        <v>21</v>
      </c>
      <c r="D25" s="8" t="s">
        <v>235</v>
      </c>
      <c r="E25" s="8" t="s">
        <v>161</v>
      </c>
      <c r="F25" s="8" t="s">
        <v>24</v>
      </c>
      <c r="G25" s="8" t="s">
        <v>169</v>
      </c>
      <c r="H25" s="8" t="s">
        <v>26</v>
      </c>
      <c r="I25" s="8" t="s">
        <v>27</v>
      </c>
      <c r="J25" s="8">
        <v>1</v>
      </c>
      <c r="K25" s="8" t="s">
        <v>173</v>
      </c>
      <c r="L25" s="8" t="s">
        <v>30</v>
      </c>
      <c r="M25" s="8" t="s">
        <v>30</v>
      </c>
      <c r="N25" s="8" t="s">
        <v>55</v>
      </c>
      <c r="O25" s="8" t="s">
        <v>167</v>
      </c>
      <c r="P25" s="8" t="s">
        <v>30</v>
      </c>
      <c r="Q25" s="8" t="s">
        <v>27</v>
      </c>
      <c r="R25" s="7" t="s">
        <v>168</v>
      </c>
      <c r="S25" s="8" t="str">
        <f>IF(J25&lt;2,"Low",IF(J25&lt;4,"Medium","High"))</f>
        <v>Low</v>
      </c>
    </row>
    <row r="26" spans="1:19">
      <c r="A26" s="8" t="s">
        <v>198</v>
      </c>
      <c r="B26" s="8">
        <v>18</v>
      </c>
      <c r="C26" s="8" t="s">
        <v>21</v>
      </c>
      <c r="D26" s="8" t="s">
        <v>235</v>
      </c>
      <c r="E26" s="8" t="s">
        <v>161</v>
      </c>
      <c r="F26" s="8" t="s">
        <v>24</v>
      </c>
      <c r="G26" s="8" t="s">
        <v>169</v>
      </c>
      <c r="H26" s="8" t="s">
        <v>26</v>
      </c>
      <c r="I26" s="8" t="s">
        <v>35</v>
      </c>
      <c r="J26" s="8">
        <v>1.5</v>
      </c>
      <c r="K26" s="8" t="s">
        <v>104</v>
      </c>
      <c r="L26" s="8" t="s">
        <v>30</v>
      </c>
      <c r="M26" s="8" t="s">
        <v>30</v>
      </c>
      <c r="N26" s="8" t="s">
        <v>166</v>
      </c>
      <c r="O26" s="8" t="s">
        <v>104</v>
      </c>
      <c r="P26" s="8" t="s">
        <v>30</v>
      </c>
      <c r="Q26" s="8" t="s">
        <v>27</v>
      </c>
      <c r="R26" s="7" t="s">
        <v>168</v>
      </c>
      <c r="S26" s="8" t="str">
        <f>IF(J26&lt;2,"Low",IF(J26&lt;4,"Medium","High"))</f>
        <v>Low</v>
      </c>
    </row>
    <row r="27" spans="1:19">
      <c r="A27" s="8" t="s">
        <v>199</v>
      </c>
      <c r="B27" s="8">
        <v>19</v>
      </c>
      <c r="C27" s="8" t="s">
        <v>21</v>
      </c>
      <c r="D27" s="8" t="s">
        <v>235</v>
      </c>
      <c r="E27" s="8" t="s">
        <v>161</v>
      </c>
      <c r="F27" s="8" t="s">
        <v>24</v>
      </c>
      <c r="G27" s="8" t="s">
        <v>169</v>
      </c>
      <c r="H27" s="8" t="s">
        <v>26</v>
      </c>
      <c r="I27" s="8" t="s">
        <v>35</v>
      </c>
      <c r="J27" s="8">
        <v>1</v>
      </c>
      <c r="K27" s="8" t="s">
        <v>162</v>
      </c>
      <c r="L27" s="8" t="s">
        <v>30</v>
      </c>
      <c r="M27" s="8" t="s">
        <v>35</v>
      </c>
      <c r="N27" s="8" t="s">
        <v>166</v>
      </c>
      <c r="O27" s="8" t="s">
        <v>174</v>
      </c>
      <c r="P27" s="8" t="s">
        <v>30</v>
      </c>
      <c r="Q27" s="8" t="s">
        <v>27</v>
      </c>
      <c r="R27" s="7" t="s">
        <v>168</v>
      </c>
      <c r="S27" s="8" t="str">
        <f>IF(J27&lt;2,"Low",IF(J27&lt;4,"Medium","High"))</f>
        <v>Low</v>
      </c>
    </row>
    <row r="28" spans="1:19">
      <c r="A28" s="8" t="s">
        <v>113</v>
      </c>
      <c r="B28" s="8">
        <v>18</v>
      </c>
      <c r="C28" s="8" t="s">
        <v>62</v>
      </c>
      <c r="D28" s="8" t="s">
        <v>235</v>
      </c>
      <c r="E28" s="8" t="s">
        <v>161</v>
      </c>
      <c r="F28" s="8" t="s">
        <v>24</v>
      </c>
      <c r="G28" s="8" t="s">
        <v>169</v>
      </c>
      <c r="H28" s="8" t="s">
        <v>66</v>
      </c>
      <c r="I28" s="8" t="s">
        <v>35</v>
      </c>
      <c r="J28" s="8">
        <v>1.5</v>
      </c>
      <c r="K28" s="8" t="s">
        <v>173</v>
      </c>
      <c r="L28" s="8" t="s">
        <v>30</v>
      </c>
      <c r="M28" s="8" t="s">
        <v>35</v>
      </c>
      <c r="N28" s="8" t="s">
        <v>166</v>
      </c>
      <c r="O28" s="8" t="s">
        <v>167</v>
      </c>
      <c r="P28" s="8" t="s">
        <v>30</v>
      </c>
      <c r="Q28" s="8" t="s">
        <v>27</v>
      </c>
      <c r="R28" s="7" t="s">
        <v>168</v>
      </c>
      <c r="S28" s="8" t="str">
        <f>IF(J28&lt;2,"Low",IF(J28&lt;4,"Medium","High"))</f>
        <v>Low</v>
      </c>
    </row>
    <row r="29" spans="1:19">
      <c r="A29" s="8" t="s">
        <v>200</v>
      </c>
      <c r="B29" s="8">
        <v>18</v>
      </c>
      <c r="C29" s="8" t="s">
        <v>21</v>
      </c>
      <c r="D29" s="8" t="s">
        <v>235</v>
      </c>
      <c r="E29" s="8" t="s">
        <v>161</v>
      </c>
      <c r="F29" s="8" t="s">
        <v>24</v>
      </c>
      <c r="G29" s="8" t="s">
        <v>53</v>
      </c>
      <c r="H29" s="8" t="s">
        <v>103</v>
      </c>
      <c r="I29" s="8" t="s">
        <v>27</v>
      </c>
      <c r="J29" s="8">
        <v>1.5</v>
      </c>
      <c r="K29" s="8" t="s">
        <v>173</v>
      </c>
      <c r="L29" s="8" t="s">
        <v>27</v>
      </c>
      <c r="M29" s="8" t="s">
        <v>35</v>
      </c>
      <c r="N29" s="8" t="s">
        <v>166</v>
      </c>
      <c r="O29" s="8" t="s">
        <v>167</v>
      </c>
      <c r="P29" s="8" t="s">
        <v>30</v>
      </c>
      <c r="Q29" s="8" t="s">
        <v>27</v>
      </c>
      <c r="R29" s="7" t="s">
        <v>164</v>
      </c>
      <c r="S29" s="8" t="str">
        <f>IF(J29&lt;2,"Low",IF(J29&lt;4,"Medium","High"))</f>
        <v>Low</v>
      </c>
    </row>
    <row r="30" spans="1:19">
      <c r="A30" s="8" t="s">
        <v>201</v>
      </c>
      <c r="B30" s="8">
        <v>18</v>
      </c>
      <c r="C30" s="8" t="s">
        <v>62</v>
      </c>
      <c r="D30" s="8" t="s">
        <v>235</v>
      </c>
      <c r="E30" s="8" t="s">
        <v>161</v>
      </c>
      <c r="F30" s="8" t="s">
        <v>52</v>
      </c>
      <c r="G30" s="8" t="s">
        <v>169</v>
      </c>
      <c r="H30" s="8" t="s">
        <v>117</v>
      </c>
      <c r="I30" s="8" t="s">
        <v>27</v>
      </c>
      <c r="J30" s="8">
        <v>1.5</v>
      </c>
      <c r="K30" s="8" t="s">
        <v>165</v>
      </c>
      <c r="L30" s="8" t="s">
        <v>27</v>
      </c>
      <c r="M30" s="8" t="s">
        <v>30</v>
      </c>
      <c r="N30" s="8" t="s">
        <v>202</v>
      </c>
      <c r="O30" s="8" t="s">
        <v>203</v>
      </c>
      <c r="P30" s="8" t="s">
        <v>30</v>
      </c>
      <c r="Q30" s="8" t="s">
        <v>30</v>
      </c>
      <c r="R30" s="7" t="s">
        <v>204</v>
      </c>
      <c r="S30" s="8" t="str">
        <f>IF(J30&lt;2,"Low",IF(J30&lt;4,"Medium","High"))</f>
        <v>Low</v>
      </c>
    </row>
    <row r="31" spans="1:19">
      <c r="A31" s="8" t="s">
        <v>206</v>
      </c>
      <c r="B31" s="8">
        <v>18</v>
      </c>
      <c r="C31" s="8" t="s">
        <v>21</v>
      </c>
      <c r="D31" s="8" t="s">
        <v>235</v>
      </c>
      <c r="E31" s="8" t="s">
        <v>161</v>
      </c>
      <c r="F31" s="8" t="s">
        <v>52</v>
      </c>
      <c r="G31" s="8" t="s">
        <v>53</v>
      </c>
      <c r="H31" s="8" t="s">
        <v>103</v>
      </c>
      <c r="I31" s="8" t="s">
        <v>30</v>
      </c>
      <c r="J31" s="8">
        <v>1</v>
      </c>
      <c r="K31" s="8" t="s">
        <v>173</v>
      </c>
      <c r="L31" s="8" t="s">
        <v>27</v>
      </c>
      <c r="M31" s="8" t="s">
        <v>35</v>
      </c>
      <c r="N31" s="8" t="s">
        <v>55</v>
      </c>
      <c r="O31" s="8" t="s">
        <v>167</v>
      </c>
      <c r="P31" s="8" t="s">
        <v>30</v>
      </c>
      <c r="Q31" s="8" t="s">
        <v>27</v>
      </c>
      <c r="R31" s="7" t="s">
        <v>207</v>
      </c>
      <c r="S31" s="8" t="str">
        <f>IF(J31&lt;2,"Low",IF(J31&lt;4,"Medium","High"))</f>
        <v>Low</v>
      </c>
    </row>
    <row r="32" spans="1:19">
      <c r="A32" s="8" t="s">
        <v>208</v>
      </c>
      <c r="B32" s="8">
        <v>19</v>
      </c>
      <c r="C32" s="8" t="s">
        <v>21</v>
      </c>
      <c r="D32" s="8" t="s">
        <v>188</v>
      </c>
      <c r="E32" s="8" t="s">
        <v>209</v>
      </c>
      <c r="F32" s="8" t="s">
        <v>130</v>
      </c>
      <c r="G32" s="8" t="s">
        <v>49</v>
      </c>
      <c r="H32" s="8" t="s">
        <v>26</v>
      </c>
      <c r="I32" s="8" t="s">
        <v>27</v>
      </c>
      <c r="J32" s="8">
        <v>1.5</v>
      </c>
      <c r="K32" s="8" t="s">
        <v>165</v>
      </c>
      <c r="L32" s="8" t="s">
        <v>30</v>
      </c>
      <c r="M32" s="8" t="s">
        <v>30</v>
      </c>
      <c r="N32" s="8" t="s">
        <v>202</v>
      </c>
      <c r="O32" s="8" t="s">
        <v>210</v>
      </c>
      <c r="P32" s="8" t="s">
        <v>27</v>
      </c>
      <c r="Q32" s="8" t="s">
        <v>27</v>
      </c>
      <c r="R32" s="7" t="s">
        <v>168</v>
      </c>
      <c r="S32" s="8" t="str">
        <f>IF(J32&lt;2,"Low",IF(J32&lt;4,"Medium","High"))</f>
        <v>Low</v>
      </c>
    </row>
    <row r="33" spans="1:19">
      <c r="A33" s="8" t="s">
        <v>211</v>
      </c>
      <c r="B33" s="8">
        <v>17</v>
      </c>
      <c r="C33" s="8" t="s">
        <v>21</v>
      </c>
      <c r="D33" s="8" t="s">
        <v>235</v>
      </c>
      <c r="E33" s="8" t="s">
        <v>161</v>
      </c>
      <c r="F33" s="8" t="s">
        <v>24</v>
      </c>
      <c r="G33" s="8" t="s">
        <v>49</v>
      </c>
      <c r="H33" s="8" t="s">
        <v>50</v>
      </c>
      <c r="I33" s="8" t="s">
        <v>27</v>
      </c>
      <c r="J33" s="8">
        <v>1.5</v>
      </c>
      <c r="K33" s="8" t="s">
        <v>173</v>
      </c>
      <c r="L33" s="8" t="s">
        <v>30</v>
      </c>
      <c r="M33" s="8" t="s">
        <v>35</v>
      </c>
      <c r="N33" s="8" t="s">
        <v>202</v>
      </c>
      <c r="O33" s="8" t="s">
        <v>167</v>
      </c>
      <c r="P33" s="8" t="s">
        <v>30</v>
      </c>
      <c r="Q33" s="8" t="s">
        <v>27</v>
      </c>
      <c r="R33" s="7" t="s">
        <v>168</v>
      </c>
      <c r="S33" s="8" t="str">
        <f>IF(J33&lt;2,"Low",IF(J33&lt;4,"Medium","High"))</f>
        <v>Low</v>
      </c>
    </row>
    <row r="34" spans="1:19">
      <c r="A34" s="8" t="s">
        <v>215</v>
      </c>
      <c r="B34" s="8">
        <v>19</v>
      </c>
      <c r="C34" s="8" t="s">
        <v>21</v>
      </c>
      <c r="D34" s="8" t="s">
        <v>235</v>
      </c>
      <c r="E34" s="8" t="s">
        <v>161</v>
      </c>
      <c r="F34" s="8" t="s">
        <v>24</v>
      </c>
      <c r="G34" s="8" t="s">
        <v>169</v>
      </c>
      <c r="H34" s="8" t="s">
        <v>50</v>
      </c>
      <c r="I34" s="8" t="s">
        <v>35</v>
      </c>
      <c r="J34" s="8">
        <v>1.5</v>
      </c>
      <c r="K34" s="8" t="s">
        <v>165</v>
      </c>
      <c r="L34" s="8" t="s">
        <v>27</v>
      </c>
      <c r="M34" s="8" t="s">
        <v>35</v>
      </c>
      <c r="N34" s="8" t="s">
        <v>55</v>
      </c>
      <c r="O34" s="8" t="s">
        <v>167</v>
      </c>
      <c r="P34" s="8" t="s">
        <v>30</v>
      </c>
      <c r="Q34" s="8" t="s">
        <v>30</v>
      </c>
      <c r="R34" s="7" t="s">
        <v>178</v>
      </c>
      <c r="S34" s="8" t="str">
        <f>IF(J34&lt;2,"Low",IF(J34&lt;4,"Medium","High"))</f>
        <v>Low</v>
      </c>
    </row>
    <row r="35" spans="1:19">
      <c r="A35" s="8" t="s">
        <v>145</v>
      </c>
      <c r="B35" s="8">
        <v>18</v>
      </c>
      <c r="C35" s="8" t="s">
        <v>21</v>
      </c>
      <c r="D35" s="8" t="s">
        <v>235</v>
      </c>
      <c r="E35" s="8" t="s">
        <v>161</v>
      </c>
      <c r="F35" s="8" t="s">
        <v>24</v>
      </c>
      <c r="G35" s="8" t="s">
        <v>169</v>
      </c>
      <c r="H35" s="8" t="s">
        <v>50</v>
      </c>
      <c r="I35" s="8" t="s">
        <v>27</v>
      </c>
      <c r="J35" s="8">
        <v>1</v>
      </c>
      <c r="K35" s="8" t="s">
        <v>165</v>
      </c>
      <c r="L35" s="8" t="s">
        <v>30</v>
      </c>
      <c r="M35" s="8" t="s">
        <v>35</v>
      </c>
      <c r="N35" s="8" t="s">
        <v>55</v>
      </c>
      <c r="O35" s="8" t="s">
        <v>174</v>
      </c>
      <c r="P35" s="8" t="s">
        <v>30</v>
      </c>
      <c r="Q35" s="8" t="s">
        <v>30</v>
      </c>
      <c r="R35" s="7" t="s">
        <v>178</v>
      </c>
      <c r="S35" s="8" t="str">
        <f>IF(J35&lt;2,"Low",IF(J35&lt;4,"Medium","High"))</f>
        <v>Low</v>
      </c>
    </row>
    <row r="36" spans="1:19">
      <c r="A36" s="8" t="s">
        <v>216</v>
      </c>
      <c r="B36" s="8">
        <v>18</v>
      </c>
      <c r="C36" s="8" t="s">
        <v>21</v>
      </c>
      <c r="D36" s="8" t="s">
        <v>235</v>
      </c>
      <c r="E36" s="8" t="s">
        <v>161</v>
      </c>
      <c r="F36" s="8" t="s">
        <v>24</v>
      </c>
      <c r="G36" s="8" t="s">
        <v>49</v>
      </c>
      <c r="H36" s="8" t="s">
        <v>103</v>
      </c>
      <c r="I36" s="8" t="s">
        <v>27</v>
      </c>
      <c r="J36" s="8">
        <v>1.5</v>
      </c>
      <c r="K36" s="8" t="s">
        <v>173</v>
      </c>
      <c r="L36" s="8" t="s">
        <v>30</v>
      </c>
      <c r="M36" s="8" t="s">
        <v>30</v>
      </c>
      <c r="N36" s="8" t="s">
        <v>166</v>
      </c>
      <c r="O36" s="8" t="s">
        <v>167</v>
      </c>
      <c r="P36" s="8" t="s">
        <v>30</v>
      </c>
      <c r="Q36" s="8" t="s">
        <v>27</v>
      </c>
      <c r="R36" s="7" t="s">
        <v>168</v>
      </c>
      <c r="S36" s="8" t="str">
        <f>IF(J36&lt;2,"Low",IF(J36&lt;4,"Medium","High"))</f>
        <v>Low</v>
      </c>
    </row>
    <row r="37" spans="1:19">
      <c r="A37" s="8" t="s">
        <v>147</v>
      </c>
      <c r="B37" s="8">
        <v>18</v>
      </c>
      <c r="C37" s="8" t="s">
        <v>21</v>
      </c>
      <c r="D37" s="8" t="s">
        <v>235</v>
      </c>
      <c r="E37" s="8" t="s">
        <v>161</v>
      </c>
      <c r="F37" s="8" t="s">
        <v>24</v>
      </c>
      <c r="G37" s="8" t="s">
        <v>169</v>
      </c>
      <c r="H37" s="8" t="s">
        <v>50</v>
      </c>
      <c r="I37" s="8" t="s">
        <v>27</v>
      </c>
      <c r="J37" s="8">
        <v>1</v>
      </c>
      <c r="K37" s="8" t="s">
        <v>165</v>
      </c>
      <c r="L37" s="8" t="s">
        <v>27</v>
      </c>
      <c r="M37" s="8" t="s">
        <v>35</v>
      </c>
      <c r="N37" s="8" t="s">
        <v>166</v>
      </c>
      <c r="O37" s="8" t="s">
        <v>167</v>
      </c>
      <c r="P37" s="8" t="s">
        <v>30</v>
      </c>
      <c r="Q37" s="8" t="s">
        <v>30</v>
      </c>
      <c r="R37" s="7" t="s">
        <v>168</v>
      </c>
      <c r="S37" s="8" t="str">
        <f>IF(J37&lt;2,"Low",IF(J37&lt;4,"Medium","High"))</f>
        <v>Low</v>
      </c>
    </row>
    <row r="38" spans="1:19">
      <c r="A38" s="8" t="s">
        <v>148</v>
      </c>
      <c r="B38" s="8">
        <v>18</v>
      </c>
      <c r="C38" s="8" t="s">
        <v>21</v>
      </c>
      <c r="D38" s="8" t="s">
        <v>235</v>
      </c>
      <c r="E38" s="8" t="s">
        <v>161</v>
      </c>
      <c r="F38" s="8" t="s">
        <v>24</v>
      </c>
      <c r="G38" s="8" t="s">
        <v>25</v>
      </c>
      <c r="H38" s="8" t="s">
        <v>26</v>
      </c>
      <c r="I38" s="8" t="s">
        <v>35</v>
      </c>
      <c r="J38" s="8">
        <v>1.5</v>
      </c>
      <c r="K38" s="8" t="s">
        <v>173</v>
      </c>
      <c r="L38" s="8" t="s">
        <v>27</v>
      </c>
      <c r="M38" s="8" t="s">
        <v>35</v>
      </c>
      <c r="N38" s="8" t="s">
        <v>166</v>
      </c>
      <c r="O38" s="8" t="s">
        <v>174</v>
      </c>
      <c r="P38" s="8" t="s">
        <v>30</v>
      </c>
      <c r="Q38" s="8" t="s">
        <v>27</v>
      </c>
      <c r="R38" s="7" t="s">
        <v>168</v>
      </c>
      <c r="S38" s="8" t="str">
        <f>IF(J38&lt;2,"Low",IF(J38&lt;4,"Medium","High"))</f>
        <v>Low</v>
      </c>
    </row>
    <row r="39" spans="1:19">
      <c r="A39" s="8" t="s">
        <v>156</v>
      </c>
      <c r="B39" s="8">
        <v>16</v>
      </c>
      <c r="C39" s="8" t="s">
        <v>62</v>
      </c>
      <c r="D39" s="8" t="s">
        <v>235</v>
      </c>
      <c r="E39" s="8" t="s">
        <v>209</v>
      </c>
      <c r="F39" s="8" t="s">
        <v>24</v>
      </c>
      <c r="G39" s="8" t="s">
        <v>53</v>
      </c>
      <c r="H39" s="8" t="s">
        <v>26</v>
      </c>
      <c r="I39" s="8" t="s">
        <v>35</v>
      </c>
      <c r="J39" s="8">
        <v>1.5</v>
      </c>
      <c r="K39" s="8" t="s">
        <v>162</v>
      </c>
      <c r="L39" s="8" t="s">
        <v>30</v>
      </c>
      <c r="M39" s="8" t="s">
        <v>35</v>
      </c>
      <c r="N39" s="8" t="s">
        <v>202</v>
      </c>
      <c r="O39" s="8" t="s">
        <v>193</v>
      </c>
      <c r="P39" s="8" t="s">
        <v>27</v>
      </c>
      <c r="Q39" s="8" t="s">
        <v>30</v>
      </c>
      <c r="R39" s="7" t="s">
        <v>164</v>
      </c>
      <c r="S39" s="8" t="str">
        <f>IF(J39&lt;2,"Low",IF(J39&lt;4,"Medium","High"))</f>
        <v>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42"/>
  <sheetViews>
    <sheetView workbookViewId="0">
      <pane ySplit="1" topLeftCell="A2" activePane="bottomLeft" state="frozen"/>
      <selection pane="bottomLeft"/>
    </sheetView>
  </sheetViews>
  <sheetFormatPr defaultColWidth="12.6328125" defaultRowHeight="15.75" customHeight="1"/>
  <cols>
    <col min="1" max="4" width="18.90625" customWidth="1"/>
    <col min="5" max="5" width="19.26953125" customWidth="1"/>
    <col min="6" max="6" width="22" customWidth="1"/>
    <col min="7" max="7" width="36.6328125" customWidth="1"/>
    <col min="8" max="8" width="27" customWidth="1"/>
    <col min="9" max="9" width="30.453125" customWidth="1"/>
    <col min="10" max="10" width="26.90625" customWidth="1"/>
    <col min="11" max="11" width="33.7265625" customWidth="1"/>
    <col min="12" max="13" width="37.6328125" customWidth="1"/>
    <col min="14" max="14" width="28.90625" customWidth="1"/>
    <col min="15" max="15" width="28.26953125" customWidth="1"/>
    <col min="16" max="16" width="31.26953125" customWidth="1"/>
    <col min="17" max="20" width="37.6328125" customWidth="1"/>
    <col min="21" max="26" width="18.90625" customWidth="1"/>
  </cols>
  <sheetData>
    <row r="1" spans="1:2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>
      <c r="A2" s="2">
        <v>45851.674435787034</v>
      </c>
      <c r="B2" s="3" t="s">
        <v>20</v>
      </c>
      <c r="C2" s="3">
        <v>19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30</v>
      </c>
      <c r="S2" s="3" t="s">
        <v>34</v>
      </c>
      <c r="T2" s="4"/>
    </row>
    <row r="3" spans="1:20" ht="22.5" customHeight="1">
      <c r="A3" s="2">
        <v>45851.677653969906</v>
      </c>
      <c r="B3" s="4" t="s">
        <v>20</v>
      </c>
      <c r="C3" s="3">
        <v>18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35</v>
      </c>
      <c r="K3" s="3" t="s">
        <v>28</v>
      </c>
      <c r="L3" s="3" t="s">
        <v>36</v>
      </c>
      <c r="M3" s="3" t="s">
        <v>30</v>
      </c>
      <c r="N3" s="3" t="s">
        <v>30</v>
      </c>
      <c r="O3" s="3" t="s">
        <v>37</v>
      </c>
      <c r="P3" s="3" t="s">
        <v>38</v>
      </c>
      <c r="Q3" s="3" t="s">
        <v>33</v>
      </c>
      <c r="R3" s="3" t="s">
        <v>30</v>
      </c>
      <c r="S3" s="3" t="s">
        <v>39</v>
      </c>
      <c r="T3" s="3" t="s">
        <v>40</v>
      </c>
    </row>
    <row r="4" spans="1:20" ht="22.5" customHeight="1">
      <c r="A4" s="2">
        <v>45851.679812083334</v>
      </c>
      <c r="B4" s="3" t="s">
        <v>41</v>
      </c>
      <c r="C4" s="3">
        <v>18</v>
      </c>
      <c r="D4" s="3" t="s">
        <v>21</v>
      </c>
      <c r="E4" s="3" t="s">
        <v>22</v>
      </c>
      <c r="F4" s="3" t="s">
        <v>42</v>
      </c>
      <c r="G4" s="3" t="s">
        <v>24</v>
      </c>
      <c r="H4" s="3" t="s">
        <v>43</v>
      </c>
      <c r="I4" s="3" t="s">
        <v>26</v>
      </c>
      <c r="J4" s="3" t="s">
        <v>35</v>
      </c>
      <c r="K4" s="5" t="s">
        <v>44</v>
      </c>
      <c r="L4" s="3" t="s">
        <v>36</v>
      </c>
      <c r="M4" s="3" t="s">
        <v>30</v>
      </c>
      <c r="N4" s="3" t="s">
        <v>30</v>
      </c>
      <c r="O4" s="3" t="s">
        <v>37</v>
      </c>
      <c r="P4" s="3" t="s">
        <v>45</v>
      </c>
      <c r="Q4" s="3" t="s">
        <v>33</v>
      </c>
      <c r="R4" s="3" t="s">
        <v>30</v>
      </c>
      <c r="S4" s="3" t="s">
        <v>34</v>
      </c>
      <c r="T4" s="3" t="s">
        <v>46</v>
      </c>
    </row>
    <row r="5" spans="1:20" ht="22.5" customHeight="1">
      <c r="A5" s="2">
        <v>45851.689854710647</v>
      </c>
      <c r="B5" s="3" t="s">
        <v>47</v>
      </c>
      <c r="C5" s="3">
        <v>19</v>
      </c>
      <c r="D5" s="3" t="s">
        <v>21</v>
      </c>
      <c r="E5" s="3" t="s">
        <v>22</v>
      </c>
      <c r="F5" s="3" t="s">
        <v>48</v>
      </c>
      <c r="G5" s="3" t="s">
        <v>24</v>
      </c>
      <c r="H5" s="3" t="s">
        <v>49</v>
      </c>
      <c r="I5" s="3" t="s">
        <v>50</v>
      </c>
      <c r="J5" s="3" t="s">
        <v>35</v>
      </c>
      <c r="K5" s="3" t="s">
        <v>28</v>
      </c>
      <c r="L5" s="3" t="s">
        <v>29</v>
      </c>
      <c r="M5" s="3" t="s">
        <v>30</v>
      </c>
      <c r="N5" s="3" t="s">
        <v>35</v>
      </c>
      <c r="O5" s="3" t="s">
        <v>37</v>
      </c>
      <c r="P5" s="3" t="s">
        <v>38</v>
      </c>
      <c r="Q5" s="3" t="s">
        <v>33</v>
      </c>
      <c r="R5" s="3" t="s">
        <v>27</v>
      </c>
      <c r="S5" s="3" t="s">
        <v>39</v>
      </c>
      <c r="T5" s="3" t="s">
        <v>31</v>
      </c>
    </row>
    <row r="6" spans="1:20" ht="22.5" customHeight="1">
      <c r="A6" s="2">
        <v>45851.689924016202</v>
      </c>
      <c r="B6" s="3" t="s">
        <v>51</v>
      </c>
      <c r="C6" s="3">
        <v>18</v>
      </c>
      <c r="D6" s="4"/>
      <c r="E6" s="3" t="s">
        <v>22</v>
      </c>
      <c r="F6" s="3" t="s">
        <v>23</v>
      </c>
      <c r="G6" s="3" t="s">
        <v>52</v>
      </c>
      <c r="H6" s="3" t="s">
        <v>53</v>
      </c>
      <c r="I6" s="3" t="s">
        <v>26</v>
      </c>
      <c r="J6" s="3" t="s">
        <v>27</v>
      </c>
      <c r="K6" s="5" t="s">
        <v>44</v>
      </c>
      <c r="L6" s="3" t="s">
        <v>54</v>
      </c>
      <c r="M6" s="3" t="s">
        <v>27</v>
      </c>
      <c r="N6" s="3" t="s">
        <v>35</v>
      </c>
      <c r="O6" s="3" t="s">
        <v>55</v>
      </c>
      <c r="P6" s="3" t="s">
        <v>38</v>
      </c>
      <c r="Q6" s="3" t="s">
        <v>56</v>
      </c>
      <c r="R6" s="3" t="s">
        <v>27</v>
      </c>
      <c r="S6" s="3" t="s">
        <v>34</v>
      </c>
      <c r="T6" s="4"/>
    </row>
    <row r="7" spans="1:20" ht="22.5" customHeight="1">
      <c r="A7" s="2">
        <v>45851.692588738428</v>
      </c>
      <c r="B7" s="3" t="s">
        <v>57</v>
      </c>
      <c r="C7" s="3">
        <v>18</v>
      </c>
      <c r="D7" s="3" t="s">
        <v>21</v>
      </c>
      <c r="E7" s="3" t="s">
        <v>22</v>
      </c>
      <c r="F7" s="3" t="s">
        <v>58</v>
      </c>
      <c r="G7" s="3" t="s">
        <v>52</v>
      </c>
      <c r="H7" s="3" t="s">
        <v>43</v>
      </c>
      <c r="I7" s="3" t="s">
        <v>26</v>
      </c>
      <c r="J7" s="3" t="s">
        <v>35</v>
      </c>
      <c r="K7" s="5" t="s">
        <v>44</v>
      </c>
      <c r="L7" s="3" t="s">
        <v>29</v>
      </c>
      <c r="M7" s="3" t="s">
        <v>27</v>
      </c>
      <c r="N7" s="3" t="s">
        <v>35</v>
      </c>
      <c r="O7" s="3" t="s">
        <v>55</v>
      </c>
      <c r="P7" s="3" t="s">
        <v>59</v>
      </c>
      <c r="Q7" s="3" t="s">
        <v>33</v>
      </c>
      <c r="R7" s="3" t="s">
        <v>30</v>
      </c>
      <c r="S7" s="3" t="s">
        <v>39</v>
      </c>
      <c r="T7" s="3" t="s">
        <v>60</v>
      </c>
    </row>
    <row r="8" spans="1:20" ht="22.5" customHeight="1">
      <c r="A8" s="2">
        <v>45851.694726666668</v>
      </c>
      <c r="B8" s="3" t="s">
        <v>51</v>
      </c>
      <c r="C8" s="3">
        <v>18</v>
      </c>
      <c r="D8" s="4"/>
      <c r="E8" s="3" t="s">
        <v>22</v>
      </c>
      <c r="F8" s="3" t="s">
        <v>23</v>
      </c>
      <c r="G8" s="3" t="s">
        <v>52</v>
      </c>
      <c r="H8" s="3" t="s">
        <v>53</v>
      </c>
      <c r="I8" s="3" t="s">
        <v>26</v>
      </c>
      <c r="J8" s="3" t="s">
        <v>27</v>
      </c>
      <c r="K8" s="5" t="s">
        <v>44</v>
      </c>
      <c r="L8" s="3" t="s">
        <v>54</v>
      </c>
      <c r="M8" s="3" t="s">
        <v>27</v>
      </c>
      <c r="N8" s="3" t="s">
        <v>35</v>
      </c>
      <c r="O8" s="3" t="s">
        <v>55</v>
      </c>
      <c r="P8" s="3" t="s">
        <v>38</v>
      </c>
      <c r="Q8" s="3" t="s">
        <v>56</v>
      </c>
      <c r="R8" s="3" t="s">
        <v>27</v>
      </c>
      <c r="S8" s="3" t="s">
        <v>34</v>
      </c>
      <c r="T8" s="4"/>
    </row>
    <row r="9" spans="1:20" ht="22.5" customHeight="1">
      <c r="A9" s="2">
        <v>45851.697176585643</v>
      </c>
      <c r="B9" s="3" t="s">
        <v>61</v>
      </c>
      <c r="C9" s="3">
        <v>22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49</v>
      </c>
      <c r="I9" s="3" t="s">
        <v>66</v>
      </c>
      <c r="J9" s="3" t="s">
        <v>27</v>
      </c>
      <c r="K9" s="5" t="s">
        <v>67</v>
      </c>
      <c r="L9" s="3" t="s">
        <v>29</v>
      </c>
      <c r="M9" s="3" t="s">
        <v>30</v>
      </c>
      <c r="N9" s="3" t="s">
        <v>35</v>
      </c>
      <c r="O9" s="3" t="s">
        <v>37</v>
      </c>
      <c r="P9" s="3" t="s">
        <v>68</v>
      </c>
      <c r="Q9" s="3" t="s">
        <v>56</v>
      </c>
      <c r="R9" s="3" t="s">
        <v>27</v>
      </c>
      <c r="S9" s="3" t="s">
        <v>34</v>
      </c>
      <c r="T9" s="3" t="s">
        <v>69</v>
      </c>
    </row>
    <row r="10" spans="1:20" ht="22.5" customHeight="1">
      <c r="A10" s="2">
        <v>45851.705294722226</v>
      </c>
      <c r="B10" s="3" t="s">
        <v>70</v>
      </c>
      <c r="C10" s="3">
        <v>18</v>
      </c>
      <c r="D10" s="3" t="s">
        <v>21</v>
      </c>
      <c r="E10" s="3" t="s">
        <v>22</v>
      </c>
      <c r="F10" s="3" t="s">
        <v>58</v>
      </c>
      <c r="G10" s="3" t="s">
        <v>24</v>
      </c>
      <c r="H10" s="3" t="s">
        <v>53</v>
      </c>
      <c r="I10" s="3" t="s">
        <v>50</v>
      </c>
      <c r="J10" s="3" t="s">
        <v>30</v>
      </c>
      <c r="K10" s="5" t="s">
        <v>71</v>
      </c>
      <c r="L10" s="3" t="s">
        <v>29</v>
      </c>
      <c r="M10" s="3" t="s">
        <v>30</v>
      </c>
      <c r="N10" s="3" t="s">
        <v>35</v>
      </c>
      <c r="O10" s="3" t="s">
        <v>37</v>
      </c>
      <c r="P10" s="3" t="s">
        <v>38</v>
      </c>
      <c r="Q10" s="3" t="s">
        <v>33</v>
      </c>
      <c r="R10" s="3" t="s">
        <v>30</v>
      </c>
      <c r="S10" s="3" t="s">
        <v>72</v>
      </c>
      <c r="T10" s="3" t="s">
        <v>73</v>
      </c>
    </row>
    <row r="11" spans="1:20" ht="22.5" customHeight="1">
      <c r="A11" s="2">
        <v>45851.708363437501</v>
      </c>
      <c r="B11" s="3" t="s">
        <v>74</v>
      </c>
      <c r="C11" s="3">
        <v>18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43</v>
      </c>
      <c r="I11" s="3" t="s">
        <v>26</v>
      </c>
      <c r="J11" s="3" t="s">
        <v>27</v>
      </c>
      <c r="K11" s="5" t="s">
        <v>44</v>
      </c>
      <c r="L11" s="3" t="s">
        <v>36</v>
      </c>
      <c r="M11" s="3" t="s">
        <v>27</v>
      </c>
      <c r="N11" s="3" t="s">
        <v>30</v>
      </c>
      <c r="O11" s="3" t="s">
        <v>37</v>
      </c>
      <c r="P11" s="3" t="s">
        <v>38</v>
      </c>
      <c r="Q11" s="3" t="s">
        <v>33</v>
      </c>
      <c r="R11" s="3" t="s">
        <v>27</v>
      </c>
      <c r="S11" s="3" t="s">
        <v>39</v>
      </c>
      <c r="T11" s="3" t="s">
        <v>75</v>
      </c>
    </row>
    <row r="12" spans="1:20" ht="22.5" customHeight="1">
      <c r="A12" s="2">
        <v>45851.711442766202</v>
      </c>
      <c r="B12" s="3" t="s">
        <v>76</v>
      </c>
      <c r="C12" s="3">
        <v>18</v>
      </c>
      <c r="D12" s="3" t="s">
        <v>21</v>
      </c>
      <c r="E12" s="3" t="s">
        <v>22</v>
      </c>
      <c r="F12" s="3" t="s">
        <v>77</v>
      </c>
      <c r="G12" s="3" t="s">
        <v>24</v>
      </c>
      <c r="H12" s="3" t="s">
        <v>43</v>
      </c>
      <c r="I12" s="3" t="s">
        <v>26</v>
      </c>
      <c r="J12" s="3" t="s">
        <v>27</v>
      </c>
      <c r="K12" s="3" t="s">
        <v>28</v>
      </c>
      <c r="L12" s="3" t="s">
        <v>36</v>
      </c>
      <c r="M12" s="3" t="s">
        <v>30</v>
      </c>
      <c r="N12" s="3" t="s">
        <v>27</v>
      </c>
      <c r="O12" s="3" t="s">
        <v>55</v>
      </c>
      <c r="P12" s="3" t="s">
        <v>59</v>
      </c>
      <c r="Q12" s="3" t="s">
        <v>33</v>
      </c>
      <c r="R12" s="3" t="s">
        <v>30</v>
      </c>
      <c r="S12" s="3" t="s">
        <v>78</v>
      </c>
      <c r="T12" s="3" t="s">
        <v>79</v>
      </c>
    </row>
    <row r="13" spans="1:20" ht="22.5" customHeight="1">
      <c r="A13" s="2">
        <v>45851.714836620369</v>
      </c>
      <c r="B13" s="3" t="s">
        <v>80</v>
      </c>
      <c r="C13" s="3">
        <v>18</v>
      </c>
      <c r="D13" s="3" t="s">
        <v>21</v>
      </c>
      <c r="E13" s="3" t="s">
        <v>22</v>
      </c>
      <c r="F13" s="3" t="s">
        <v>23</v>
      </c>
      <c r="G13" s="3" t="s">
        <v>24</v>
      </c>
      <c r="H13" s="3" t="s">
        <v>49</v>
      </c>
      <c r="I13" s="3" t="s">
        <v>26</v>
      </c>
      <c r="J13" s="3" t="s">
        <v>35</v>
      </c>
      <c r="K13" s="5" t="s">
        <v>67</v>
      </c>
      <c r="L13" s="3" t="s">
        <v>81</v>
      </c>
      <c r="M13" s="3" t="s">
        <v>27</v>
      </c>
      <c r="N13" s="3" t="s">
        <v>30</v>
      </c>
      <c r="O13" s="3" t="s">
        <v>37</v>
      </c>
      <c r="P13" s="3" t="s">
        <v>38</v>
      </c>
      <c r="Q13" s="3" t="s">
        <v>33</v>
      </c>
      <c r="R13" s="3" t="s">
        <v>27</v>
      </c>
      <c r="S13" s="3" t="s">
        <v>78</v>
      </c>
      <c r="T13" s="3" t="s">
        <v>82</v>
      </c>
    </row>
    <row r="14" spans="1:20" ht="22.5" customHeight="1">
      <c r="A14" s="2">
        <v>45851.719115439817</v>
      </c>
      <c r="B14" s="3" t="s">
        <v>83</v>
      </c>
      <c r="C14" s="3">
        <v>18</v>
      </c>
      <c r="D14" s="3" t="s">
        <v>21</v>
      </c>
      <c r="E14" s="3" t="s">
        <v>22</v>
      </c>
      <c r="F14" s="3" t="s">
        <v>23</v>
      </c>
      <c r="G14" s="3" t="s">
        <v>24</v>
      </c>
      <c r="H14" s="3" t="s">
        <v>43</v>
      </c>
      <c r="I14" s="3" t="s">
        <v>26</v>
      </c>
      <c r="J14" s="3" t="s">
        <v>35</v>
      </c>
      <c r="K14" s="5" t="s">
        <v>44</v>
      </c>
      <c r="L14" s="3" t="s">
        <v>54</v>
      </c>
      <c r="M14" s="3" t="s">
        <v>27</v>
      </c>
      <c r="N14" s="3" t="s">
        <v>35</v>
      </c>
      <c r="O14" s="3" t="s">
        <v>37</v>
      </c>
      <c r="P14" s="3" t="s">
        <v>38</v>
      </c>
      <c r="Q14" s="3" t="s">
        <v>33</v>
      </c>
      <c r="R14" s="3" t="s">
        <v>27</v>
      </c>
      <c r="S14" s="3" t="s">
        <v>34</v>
      </c>
      <c r="T14" s="4"/>
    </row>
    <row r="15" spans="1:20" ht="22.5" customHeight="1">
      <c r="A15" s="2">
        <v>45851.722820578703</v>
      </c>
      <c r="B15" s="3" t="s">
        <v>84</v>
      </c>
      <c r="C15" s="3">
        <v>17</v>
      </c>
      <c r="D15" s="3" t="s">
        <v>21</v>
      </c>
      <c r="E15" s="3" t="s">
        <v>22</v>
      </c>
      <c r="F15" s="3" t="s">
        <v>85</v>
      </c>
      <c r="G15" s="3" t="s">
        <v>52</v>
      </c>
      <c r="H15" s="3" t="s">
        <v>53</v>
      </c>
      <c r="I15" s="3" t="s">
        <v>50</v>
      </c>
      <c r="J15" s="3" t="s">
        <v>27</v>
      </c>
      <c r="K15" s="5" t="s">
        <v>67</v>
      </c>
      <c r="L15" s="3" t="s">
        <v>29</v>
      </c>
      <c r="M15" s="3" t="s">
        <v>30</v>
      </c>
      <c r="N15" s="3" t="s">
        <v>30</v>
      </c>
      <c r="O15" s="3" t="s">
        <v>37</v>
      </c>
      <c r="P15" s="3" t="s">
        <v>38</v>
      </c>
      <c r="Q15" s="3" t="s">
        <v>33</v>
      </c>
      <c r="R15" s="3" t="s">
        <v>30</v>
      </c>
      <c r="S15" s="3" t="s">
        <v>72</v>
      </c>
      <c r="T15" s="4"/>
    </row>
    <row r="16" spans="1:20" ht="22.5" customHeight="1">
      <c r="A16" s="2">
        <v>45851.724822997683</v>
      </c>
      <c r="B16" s="3" t="s">
        <v>86</v>
      </c>
      <c r="C16" s="3">
        <v>18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43</v>
      </c>
      <c r="I16" s="3" t="s">
        <v>26</v>
      </c>
      <c r="J16" s="3" t="s">
        <v>27</v>
      </c>
      <c r="K16" s="3" t="s">
        <v>28</v>
      </c>
      <c r="L16" s="3" t="s">
        <v>36</v>
      </c>
      <c r="M16" s="3" t="s">
        <v>30</v>
      </c>
      <c r="N16" s="3" t="s">
        <v>30</v>
      </c>
      <c r="O16" s="3" t="s">
        <v>55</v>
      </c>
      <c r="P16" s="3" t="s">
        <v>87</v>
      </c>
      <c r="Q16" s="3" t="s">
        <v>33</v>
      </c>
      <c r="R16" s="3" t="s">
        <v>27</v>
      </c>
      <c r="S16" s="3" t="s">
        <v>39</v>
      </c>
      <c r="T16" s="3" t="s">
        <v>31</v>
      </c>
    </row>
    <row r="17" spans="1:20" ht="22.5" customHeight="1">
      <c r="A17" s="2">
        <v>45851.734814918978</v>
      </c>
      <c r="B17" s="3" t="s">
        <v>88</v>
      </c>
      <c r="C17" s="3">
        <v>24</v>
      </c>
      <c r="D17" s="3" t="s">
        <v>21</v>
      </c>
      <c r="E17" s="3" t="s">
        <v>89</v>
      </c>
      <c r="F17" s="3" t="s">
        <v>90</v>
      </c>
      <c r="G17" s="6" t="s">
        <v>91</v>
      </c>
      <c r="H17" s="3" t="s">
        <v>25</v>
      </c>
      <c r="I17" s="3" t="s">
        <v>66</v>
      </c>
      <c r="J17" s="3" t="s">
        <v>27</v>
      </c>
      <c r="K17" s="5" t="s">
        <v>67</v>
      </c>
      <c r="L17" s="3" t="s">
        <v>36</v>
      </c>
      <c r="M17" s="3" t="s">
        <v>30</v>
      </c>
      <c r="N17" s="3" t="s">
        <v>35</v>
      </c>
      <c r="O17" s="3" t="s">
        <v>37</v>
      </c>
      <c r="P17" s="3" t="s">
        <v>92</v>
      </c>
      <c r="Q17" s="3" t="s">
        <v>33</v>
      </c>
      <c r="R17" s="3" t="s">
        <v>30</v>
      </c>
      <c r="S17" s="3" t="s">
        <v>39</v>
      </c>
      <c r="T17" s="3" t="s">
        <v>93</v>
      </c>
    </row>
    <row r="18" spans="1:20" ht="22.5" customHeight="1">
      <c r="A18" s="2">
        <v>45851.763210150464</v>
      </c>
      <c r="B18" s="3" t="s">
        <v>94</v>
      </c>
      <c r="C18" s="3">
        <v>18</v>
      </c>
      <c r="D18" s="3" t="s">
        <v>21</v>
      </c>
      <c r="E18" s="3" t="s">
        <v>22</v>
      </c>
      <c r="F18" s="3" t="s">
        <v>23</v>
      </c>
      <c r="G18" s="3" t="s">
        <v>24</v>
      </c>
      <c r="H18" s="3" t="s">
        <v>43</v>
      </c>
      <c r="I18" s="3" t="s">
        <v>26</v>
      </c>
      <c r="J18" s="3" t="s">
        <v>27</v>
      </c>
      <c r="K18" s="3" t="s">
        <v>28</v>
      </c>
      <c r="L18" s="3" t="s">
        <v>54</v>
      </c>
      <c r="M18" s="3" t="s">
        <v>30</v>
      </c>
      <c r="N18" s="3" t="s">
        <v>35</v>
      </c>
      <c r="O18" s="3" t="s">
        <v>55</v>
      </c>
      <c r="P18" s="3" t="s">
        <v>38</v>
      </c>
      <c r="Q18" s="3" t="s">
        <v>33</v>
      </c>
      <c r="R18" s="3" t="s">
        <v>27</v>
      </c>
      <c r="S18" s="3" t="s">
        <v>39</v>
      </c>
      <c r="T18" s="3" t="s">
        <v>95</v>
      </c>
    </row>
    <row r="19" spans="1:20" ht="22.5" customHeight="1">
      <c r="A19" s="2">
        <v>45851.783811793983</v>
      </c>
      <c r="B19" s="3" t="s">
        <v>96</v>
      </c>
      <c r="C19" s="3">
        <v>20</v>
      </c>
      <c r="D19" s="3" t="s">
        <v>62</v>
      </c>
      <c r="E19" s="3" t="s">
        <v>22</v>
      </c>
      <c r="F19" s="3" t="s">
        <v>97</v>
      </c>
      <c r="G19" s="3" t="s">
        <v>65</v>
      </c>
      <c r="H19" s="3" t="s">
        <v>43</v>
      </c>
      <c r="I19" s="3" t="s">
        <v>66</v>
      </c>
      <c r="J19" s="3" t="s">
        <v>27</v>
      </c>
      <c r="K19" s="5" t="s">
        <v>67</v>
      </c>
      <c r="L19" s="3" t="s">
        <v>29</v>
      </c>
      <c r="M19" s="3" t="s">
        <v>27</v>
      </c>
      <c r="N19" s="3" t="s">
        <v>35</v>
      </c>
      <c r="O19" s="3" t="s">
        <v>55</v>
      </c>
      <c r="P19" s="3" t="s">
        <v>98</v>
      </c>
      <c r="Q19" s="3" t="s">
        <v>33</v>
      </c>
      <c r="R19" s="3" t="s">
        <v>27</v>
      </c>
      <c r="S19" s="3" t="s">
        <v>99</v>
      </c>
      <c r="T19" s="3" t="s">
        <v>100</v>
      </c>
    </row>
    <row r="20" spans="1:20" ht="22.5" customHeight="1">
      <c r="A20" s="2">
        <v>45851.786292881945</v>
      </c>
      <c r="B20" s="3" t="s">
        <v>101</v>
      </c>
      <c r="C20" s="3">
        <v>18</v>
      </c>
      <c r="D20" s="3" t="s">
        <v>21</v>
      </c>
      <c r="E20" s="3" t="s">
        <v>22</v>
      </c>
      <c r="F20" s="3" t="s">
        <v>102</v>
      </c>
      <c r="G20" s="3" t="s">
        <v>24</v>
      </c>
      <c r="H20" s="3" t="s">
        <v>43</v>
      </c>
      <c r="I20" s="3" t="s">
        <v>103</v>
      </c>
      <c r="J20" s="3" t="s">
        <v>27</v>
      </c>
      <c r="K20" s="5" t="s">
        <v>67</v>
      </c>
      <c r="L20" s="3" t="s">
        <v>104</v>
      </c>
      <c r="M20" s="3" t="s">
        <v>27</v>
      </c>
      <c r="N20" s="3" t="s">
        <v>35</v>
      </c>
      <c r="O20" s="3" t="s">
        <v>37</v>
      </c>
      <c r="P20" s="3" t="s">
        <v>105</v>
      </c>
      <c r="Q20" s="3" t="s">
        <v>33</v>
      </c>
      <c r="R20" s="3" t="s">
        <v>27</v>
      </c>
      <c r="S20" s="3" t="s">
        <v>39</v>
      </c>
      <c r="T20" s="3" t="s">
        <v>106</v>
      </c>
    </row>
    <row r="21" spans="1:20" ht="22.5" customHeight="1">
      <c r="A21" s="2">
        <v>45851.793739097222</v>
      </c>
      <c r="B21" s="3" t="s">
        <v>107</v>
      </c>
      <c r="C21" s="3">
        <v>18</v>
      </c>
      <c r="D21" s="3" t="s">
        <v>21</v>
      </c>
      <c r="E21" s="3" t="s">
        <v>22</v>
      </c>
      <c r="F21" s="3" t="s">
        <v>108</v>
      </c>
      <c r="G21" s="3" t="s">
        <v>24</v>
      </c>
      <c r="H21" s="3" t="s">
        <v>43</v>
      </c>
      <c r="I21" s="3" t="s">
        <v>26</v>
      </c>
      <c r="J21" s="3" t="s">
        <v>35</v>
      </c>
      <c r="K21" s="5" t="s">
        <v>44</v>
      </c>
      <c r="L21" s="3" t="s">
        <v>104</v>
      </c>
      <c r="M21" s="3" t="s">
        <v>30</v>
      </c>
      <c r="N21" s="3" t="s">
        <v>30</v>
      </c>
      <c r="O21" s="3" t="s">
        <v>37</v>
      </c>
      <c r="P21" s="3" t="s">
        <v>109</v>
      </c>
      <c r="Q21" s="3" t="s">
        <v>33</v>
      </c>
      <c r="R21" s="3" t="s">
        <v>27</v>
      </c>
      <c r="S21" s="3" t="s">
        <v>39</v>
      </c>
      <c r="T21" s="3" t="s">
        <v>110</v>
      </c>
    </row>
    <row r="22" spans="1:20" ht="22.5" customHeight="1">
      <c r="A22" s="2">
        <v>45851.794106053239</v>
      </c>
      <c r="B22" s="3" t="s">
        <v>111</v>
      </c>
      <c r="C22" s="3">
        <v>19</v>
      </c>
      <c r="D22" s="3" t="s">
        <v>21</v>
      </c>
      <c r="E22" s="3" t="s">
        <v>22</v>
      </c>
      <c r="F22" s="3" t="s">
        <v>23</v>
      </c>
      <c r="G22" s="3" t="s">
        <v>24</v>
      </c>
      <c r="H22" s="3" t="s">
        <v>43</v>
      </c>
      <c r="I22" s="3" t="s">
        <v>26</v>
      </c>
      <c r="J22" s="3" t="s">
        <v>35</v>
      </c>
      <c r="K22" s="3" t="s">
        <v>28</v>
      </c>
      <c r="L22" s="3" t="s">
        <v>29</v>
      </c>
      <c r="M22" s="3" t="s">
        <v>30</v>
      </c>
      <c r="N22" s="3" t="s">
        <v>35</v>
      </c>
      <c r="O22" s="3" t="s">
        <v>37</v>
      </c>
      <c r="P22" s="3" t="s">
        <v>59</v>
      </c>
      <c r="Q22" s="3" t="s">
        <v>33</v>
      </c>
      <c r="R22" s="3" t="s">
        <v>27</v>
      </c>
      <c r="S22" s="3" t="s">
        <v>39</v>
      </c>
      <c r="T22" s="3" t="s">
        <v>112</v>
      </c>
    </row>
    <row r="23" spans="1:20" ht="22.5" customHeight="1">
      <c r="A23" s="2">
        <v>45851.805190995372</v>
      </c>
      <c r="B23" s="3" t="s">
        <v>113</v>
      </c>
      <c r="C23" s="3">
        <v>18</v>
      </c>
      <c r="D23" s="3" t="s">
        <v>62</v>
      </c>
      <c r="E23" s="3" t="s">
        <v>22</v>
      </c>
      <c r="F23" s="3" t="s">
        <v>23</v>
      </c>
      <c r="G23" s="3" t="s">
        <v>24</v>
      </c>
      <c r="H23" s="3" t="s">
        <v>43</v>
      </c>
      <c r="I23" s="3" t="s">
        <v>66</v>
      </c>
      <c r="J23" s="3" t="s">
        <v>35</v>
      </c>
      <c r="K23" s="5" t="s">
        <v>44</v>
      </c>
      <c r="L23" s="3" t="s">
        <v>54</v>
      </c>
      <c r="M23" s="3" t="s">
        <v>30</v>
      </c>
      <c r="N23" s="3" t="s">
        <v>35</v>
      </c>
      <c r="O23" s="3" t="s">
        <v>37</v>
      </c>
      <c r="P23" s="3" t="s">
        <v>38</v>
      </c>
      <c r="Q23" s="3" t="s">
        <v>33</v>
      </c>
      <c r="R23" s="3" t="s">
        <v>27</v>
      </c>
      <c r="S23" s="3" t="s">
        <v>39</v>
      </c>
      <c r="T23" s="4"/>
    </row>
    <row r="24" spans="1:20" ht="22.5" customHeight="1">
      <c r="A24" s="2">
        <v>45851.806872835645</v>
      </c>
      <c r="B24" s="3" t="s">
        <v>114</v>
      </c>
      <c r="C24" s="3">
        <v>18</v>
      </c>
      <c r="D24" s="3" t="s">
        <v>21</v>
      </c>
      <c r="E24" s="3" t="s">
        <v>22</v>
      </c>
      <c r="F24" s="3" t="s">
        <v>42</v>
      </c>
      <c r="G24" s="3" t="s">
        <v>24</v>
      </c>
      <c r="H24" s="3" t="s">
        <v>53</v>
      </c>
      <c r="I24" s="3" t="s">
        <v>103</v>
      </c>
      <c r="J24" s="3" t="s">
        <v>27</v>
      </c>
      <c r="K24" s="5" t="s">
        <v>44</v>
      </c>
      <c r="L24" s="3" t="s">
        <v>54</v>
      </c>
      <c r="M24" s="3" t="s">
        <v>27</v>
      </c>
      <c r="N24" s="3" t="s">
        <v>35</v>
      </c>
      <c r="O24" s="3" t="s">
        <v>37</v>
      </c>
      <c r="P24" s="3" t="s">
        <v>38</v>
      </c>
      <c r="Q24" s="3" t="s">
        <v>33</v>
      </c>
      <c r="R24" s="3" t="s">
        <v>27</v>
      </c>
      <c r="S24" s="3" t="s">
        <v>34</v>
      </c>
      <c r="T24" s="4"/>
    </row>
    <row r="25" spans="1:20" ht="22.5" customHeight="1">
      <c r="A25" s="2">
        <v>45851.838764988424</v>
      </c>
      <c r="B25" s="3" t="s">
        <v>115</v>
      </c>
      <c r="C25" s="3">
        <v>18</v>
      </c>
      <c r="D25" s="3" t="s">
        <v>62</v>
      </c>
      <c r="E25" s="3" t="s">
        <v>22</v>
      </c>
      <c r="F25" s="3" t="s">
        <v>116</v>
      </c>
      <c r="G25" s="3" t="s">
        <v>52</v>
      </c>
      <c r="H25" s="3" t="s">
        <v>43</v>
      </c>
      <c r="I25" s="3" t="s">
        <v>117</v>
      </c>
      <c r="J25" s="3" t="s">
        <v>27</v>
      </c>
      <c r="K25" s="5" t="s">
        <v>44</v>
      </c>
      <c r="L25" s="3" t="s">
        <v>36</v>
      </c>
      <c r="M25" s="3" t="s">
        <v>27</v>
      </c>
      <c r="N25" s="3" t="s">
        <v>30</v>
      </c>
      <c r="O25" s="3" t="s">
        <v>118</v>
      </c>
      <c r="P25" s="3" t="s">
        <v>119</v>
      </c>
      <c r="Q25" s="3" t="s">
        <v>33</v>
      </c>
      <c r="R25" s="3" t="s">
        <v>30</v>
      </c>
      <c r="S25" s="3" t="s">
        <v>120</v>
      </c>
      <c r="T25" s="3" t="s">
        <v>121</v>
      </c>
    </row>
    <row r="26" spans="1:20" ht="22.5" customHeight="1">
      <c r="A26" s="2">
        <v>45851.838875150468</v>
      </c>
      <c r="B26" s="3" t="s">
        <v>122</v>
      </c>
      <c r="C26" s="3">
        <v>19</v>
      </c>
      <c r="D26" s="3" t="s">
        <v>62</v>
      </c>
      <c r="E26" s="3" t="s">
        <v>22</v>
      </c>
      <c r="F26" s="3" t="s">
        <v>58</v>
      </c>
      <c r="G26" s="3" t="s">
        <v>52</v>
      </c>
      <c r="H26" s="3" t="s">
        <v>53</v>
      </c>
      <c r="I26" s="3" t="s">
        <v>26</v>
      </c>
      <c r="J26" s="3" t="s">
        <v>30</v>
      </c>
      <c r="K26" s="5" t="s">
        <v>71</v>
      </c>
      <c r="L26" s="3" t="s">
        <v>54</v>
      </c>
      <c r="M26" s="3" t="s">
        <v>30</v>
      </c>
      <c r="N26" s="3" t="s">
        <v>27</v>
      </c>
      <c r="O26" s="3" t="s">
        <v>37</v>
      </c>
      <c r="P26" s="3" t="s">
        <v>87</v>
      </c>
      <c r="Q26" s="3" t="s">
        <v>33</v>
      </c>
      <c r="R26" s="3" t="s">
        <v>27</v>
      </c>
      <c r="S26" s="3" t="s">
        <v>78</v>
      </c>
      <c r="T26" s="3" t="s">
        <v>123</v>
      </c>
    </row>
    <row r="27" spans="1:20" ht="22.5" customHeight="1">
      <c r="A27" s="2">
        <v>45851.839784432872</v>
      </c>
      <c r="B27" s="3" t="s">
        <v>122</v>
      </c>
      <c r="C27" s="3">
        <v>19</v>
      </c>
      <c r="D27" s="3" t="s">
        <v>62</v>
      </c>
      <c r="E27" s="3" t="s">
        <v>22</v>
      </c>
      <c r="F27" s="3" t="s">
        <v>58</v>
      </c>
      <c r="G27" s="3" t="s">
        <v>52</v>
      </c>
      <c r="H27" s="3" t="s">
        <v>53</v>
      </c>
      <c r="I27" s="3" t="s">
        <v>26</v>
      </c>
      <c r="J27" s="3" t="s">
        <v>30</v>
      </c>
      <c r="K27" s="5" t="s">
        <v>67</v>
      </c>
      <c r="L27" s="3" t="s">
        <v>54</v>
      </c>
      <c r="M27" s="3" t="s">
        <v>30</v>
      </c>
      <c r="N27" s="3" t="s">
        <v>30</v>
      </c>
      <c r="O27" s="3" t="s">
        <v>37</v>
      </c>
      <c r="P27" s="3" t="s">
        <v>38</v>
      </c>
      <c r="Q27" s="3" t="s">
        <v>33</v>
      </c>
      <c r="R27" s="3" t="s">
        <v>30</v>
      </c>
      <c r="S27" s="3" t="s">
        <v>72</v>
      </c>
      <c r="T27" s="3" t="s">
        <v>124</v>
      </c>
    </row>
    <row r="28" spans="1:20" ht="22.5" customHeight="1">
      <c r="A28" s="2">
        <v>45851.854313229167</v>
      </c>
      <c r="B28" s="3" t="s">
        <v>125</v>
      </c>
      <c r="C28" s="3">
        <v>18</v>
      </c>
      <c r="D28" s="3" t="s">
        <v>21</v>
      </c>
      <c r="E28" s="3" t="s">
        <v>22</v>
      </c>
      <c r="F28" s="3" t="s">
        <v>42</v>
      </c>
      <c r="G28" s="3" t="s">
        <v>52</v>
      </c>
      <c r="H28" s="3" t="s">
        <v>53</v>
      </c>
      <c r="I28" s="3" t="s">
        <v>103</v>
      </c>
      <c r="J28" s="3" t="s">
        <v>30</v>
      </c>
      <c r="K28" s="3" t="s">
        <v>28</v>
      </c>
      <c r="L28" s="3" t="s">
        <v>54</v>
      </c>
      <c r="M28" s="3" t="s">
        <v>27</v>
      </c>
      <c r="N28" s="3" t="s">
        <v>35</v>
      </c>
      <c r="O28" s="3" t="s">
        <v>55</v>
      </c>
      <c r="P28" s="3" t="s">
        <v>38</v>
      </c>
      <c r="Q28" s="3" t="s">
        <v>33</v>
      </c>
      <c r="R28" s="3" t="s">
        <v>27</v>
      </c>
      <c r="S28" s="3" t="s">
        <v>126</v>
      </c>
      <c r="T28" s="3" t="s">
        <v>127</v>
      </c>
    </row>
    <row r="29" spans="1:20" ht="22.5" customHeight="1">
      <c r="A29" s="2">
        <v>45851.859871099536</v>
      </c>
      <c r="B29" s="3" t="s">
        <v>128</v>
      </c>
      <c r="C29" s="3">
        <v>19</v>
      </c>
      <c r="D29" s="3" t="s">
        <v>21</v>
      </c>
      <c r="E29" s="3" t="s">
        <v>89</v>
      </c>
      <c r="F29" s="3" t="s">
        <v>129</v>
      </c>
      <c r="G29" s="6" t="s">
        <v>130</v>
      </c>
      <c r="H29" s="3" t="s">
        <v>49</v>
      </c>
      <c r="I29" s="3" t="s">
        <v>26</v>
      </c>
      <c r="J29" s="3" t="s">
        <v>27</v>
      </c>
      <c r="K29" s="5" t="s">
        <v>44</v>
      </c>
      <c r="L29" s="3" t="s">
        <v>36</v>
      </c>
      <c r="M29" s="3" t="s">
        <v>30</v>
      </c>
      <c r="N29" s="3" t="s">
        <v>30</v>
      </c>
      <c r="O29" s="3" t="s">
        <v>118</v>
      </c>
      <c r="P29" s="3" t="s">
        <v>131</v>
      </c>
      <c r="Q29" s="3" t="s">
        <v>132</v>
      </c>
      <c r="R29" s="3" t="s">
        <v>27</v>
      </c>
      <c r="S29" s="3" t="s">
        <v>39</v>
      </c>
      <c r="T29" s="3" t="s">
        <v>133</v>
      </c>
    </row>
    <row r="30" spans="1:20" ht="22.5" customHeight="1">
      <c r="A30" s="2">
        <v>45851.867601666665</v>
      </c>
      <c r="B30" s="3" t="s">
        <v>134</v>
      </c>
      <c r="C30" s="3">
        <v>17</v>
      </c>
      <c r="D30" s="3" t="s">
        <v>21</v>
      </c>
      <c r="E30" s="3" t="s">
        <v>22</v>
      </c>
      <c r="F30" s="3" t="s">
        <v>58</v>
      </c>
      <c r="G30" s="3" t="s">
        <v>24</v>
      </c>
      <c r="H30" s="3" t="s">
        <v>49</v>
      </c>
      <c r="I30" s="3" t="s">
        <v>50</v>
      </c>
      <c r="J30" s="3" t="s">
        <v>27</v>
      </c>
      <c r="K30" s="5" t="s">
        <v>44</v>
      </c>
      <c r="L30" s="3" t="s">
        <v>54</v>
      </c>
      <c r="M30" s="3" t="s">
        <v>30</v>
      </c>
      <c r="N30" s="3" t="s">
        <v>35</v>
      </c>
      <c r="O30" s="3" t="s">
        <v>118</v>
      </c>
      <c r="P30" s="3" t="s">
        <v>38</v>
      </c>
      <c r="Q30" s="3" t="s">
        <v>33</v>
      </c>
      <c r="R30" s="3" t="s">
        <v>27</v>
      </c>
      <c r="S30" s="3" t="s">
        <v>39</v>
      </c>
      <c r="T30" s="3" t="s">
        <v>135</v>
      </c>
    </row>
    <row r="31" spans="1:20" ht="22.5" customHeight="1">
      <c r="A31" s="2">
        <v>45851.873002719905</v>
      </c>
      <c r="B31" s="3" t="s">
        <v>136</v>
      </c>
      <c r="C31" s="3">
        <v>20</v>
      </c>
      <c r="D31" s="3" t="s">
        <v>21</v>
      </c>
      <c r="E31" s="3" t="s">
        <v>22</v>
      </c>
      <c r="F31" s="3" t="s">
        <v>23</v>
      </c>
      <c r="G31" s="3" t="s">
        <v>24</v>
      </c>
      <c r="H31" s="3" t="s">
        <v>25</v>
      </c>
      <c r="I31" s="3" t="s">
        <v>103</v>
      </c>
      <c r="J31" s="3" t="s">
        <v>27</v>
      </c>
      <c r="K31" s="5" t="s">
        <v>67</v>
      </c>
      <c r="L31" s="3" t="s">
        <v>29</v>
      </c>
      <c r="M31" s="3" t="s">
        <v>30</v>
      </c>
      <c r="N31" s="3" t="s">
        <v>35</v>
      </c>
      <c r="O31" s="3" t="s">
        <v>37</v>
      </c>
      <c r="P31" s="3" t="s">
        <v>137</v>
      </c>
      <c r="Q31" s="3" t="s">
        <v>33</v>
      </c>
      <c r="R31" s="3" t="s">
        <v>30</v>
      </c>
      <c r="S31" s="3" t="s">
        <v>72</v>
      </c>
      <c r="T31" s="3" t="s">
        <v>138</v>
      </c>
    </row>
    <row r="32" spans="1:20" ht="22.5" customHeight="1">
      <c r="A32" s="2">
        <v>45851.874241608792</v>
      </c>
      <c r="B32" s="3" t="s">
        <v>139</v>
      </c>
      <c r="C32" s="3">
        <v>20</v>
      </c>
      <c r="D32" s="3" t="s">
        <v>21</v>
      </c>
      <c r="E32" s="3" t="s">
        <v>22</v>
      </c>
      <c r="F32" s="3" t="s">
        <v>140</v>
      </c>
      <c r="G32" s="6" t="s">
        <v>91</v>
      </c>
      <c r="H32" s="3" t="s">
        <v>53</v>
      </c>
      <c r="I32" s="3" t="s">
        <v>26</v>
      </c>
      <c r="J32" s="3" t="s">
        <v>30</v>
      </c>
      <c r="K32" s="5" t="s">
        <v>67</v>
      </c>
      <c r="L32" s="3" t="s">
        <v>104</v>
      </c>
      <c r="M32" s="3" t="s">
        <v>30</v>
      </c>
      <c r="N32" s="3" t="s">
        <v>27</v>
      </c>
      <c r="O32" s="3" t="s">
        <v>37</v>
      </c>
      <c r="P32" s="3" t="s">
        <v>38</v>
      </c>
      <c r="Q32" s="3" t="s">
        <v>33</v>
      </c>
      <c r="R32" s="3" t="s">
        <v>30</v>
      </c>
      <c r="S32" s="3" t="s">
        <v>39</v>
      </c>
      <c r="T32" s="3" t="s">
        <v>30</v>
      </c>
    </row>
    <row r="33" spans="1:20" ht="22.5" customHeight="1">
      <c r="A33" s="2">
        <v>45851.878224097221</v>
      </c>
      <c r="B33" s="3" t="s">
        <v>141</v>
      </c>
      <c r="C33" s="3">
        <v>20</v>
      </c>
      <c r="D33" s="3" t="s">
        <v>21</v>
      </c>
      <c r="E33" s="3" t="s">
        <v>89</v>
      </c>
      <c r="F33" s="3" t="s">
        <v>142</v>
      </c>
      <c r="G33" s="6" t="s">
        <v>130</v>
      </c>
      <c r="H33" s="3" t="s">
        <v>53</v>
      </c>
      <c r="I33" s="3" t="s">
        <v>26</v>
      </c>
      <c r="J33" s="3" t="s">
        <v>35</v>
      </c>
      <c r="K33" s="5" t="s">
        <v>67</v>
      </c>
      <c r="L33" s="3" t="s">
        <v>54</v>
      </c>
      <c r="M33" s="3" t="s">
        <v>27</v>
      </c>
      <c r="N33" s="3" t="s">
        <v>30</v>
      </c>
      <c r="O33" s="3" t="s">
        <v>55</v>
      </c>
      <c r="P33" s="3" t="s">
        <v>38</v>
      </c>
      <c r="Q33" s="3" t="s">
        <v>132</v>
      </c>
      <c r="R33" s="3" t="s">
        <v>27</v>
      </c>
      <c r="S33" s="3" t="s">
        <v>72</v>
      </c>
      <c r="T33" s="4"/>
    </row>
    <row r="34" spans="1:20" ht="22.5" customHeight="1">
      <c r="A34" s="2">
        <v>45851.881932916665</v>
      </c>
      <c r="B34" s="3" t="s">
        <v>143</v>
      </c>
      <c r="C34" s="3">
        <v>19</v>
      </c>
      <c r="D34" s="3" t="s">
        <v>21</v>
      </c>
      <c r="E34" s="3" t="s">
        <v>22</v>
      </c>
      <c r="F34" s="3" t="s">
        <v>23</v>
      </c>
      <c r="G34" s="3" t="s">
        <v>24</v>
      </c>
      <c r="H34" s="3" t="s">
        <v>43</v>
      </c>
      <c r="I34" s="3" t="s">
        <v>50</v>
      </c>
      <c r="J34" s="3" t="s">
        <v>35</v>
      </c>
      <c r="K34" s="5" t="s">
        <v>44</v>
      </c>
      <c r="L34" s="3" t="s">
        <v>36</v>
      </c>
      <c r="M34" s="3" t="s">
        <v>27</v>
      </c>
      <c r="N34" s="3" t="s">
        <v>35</v>
      </c>
      <c r="O34" s="3" t="s">
        <v>55</v>
      </c>
      <c r="P34" s="3" t="s">
        <v>38</v>
      </c>
      <c r="Q34" s="3" t="s">
        <v>33</v>
      </c>
      <c r="R34" s="3" t="s">
        <v>30</v>
      </c>
      <c r="S34" s="3" t="s">
        <v>72</v>
      </c>
      <c r="T34" s="3" t="s">
        <v>144</v>
      </c>
    </row>
    <row r="35" spans="1:20" ht="22.5" customHeight="1">
      <c r="A35" s="2">
        <v>45851.887491759262</v>
      </c>
      <c r="B35" s="3" t="s">
        <v>145</v>
      </c>
      <c r="C35" s="3">
        <v>18</v>
      </c>
      <c r="D35" s="3" t="s">
        <v>21</v>
      </c>
      <c r="E35" s="3" t="s">
        <v>22</v>
      </c>
      <c r="F35" s="3" t="s">
        <v>77</v>
      </c>
      <c r="G35" s="3" t="s">
        <v>24</v>
      </c>
      <c r="H35" s="3" t="s">
        <v>43</v>
      </c>
      <c r="I35" s="3" t="s">
        <v>50</v>
      </c>
      <c r="J35" s="3" t="s">
        <v>27</v>
      </c>
      <c r="K35" s="3" t="s">
        <v>28</v>
      </c>
      <c r="L35" s="3" t="s">
        <v>36</v>
      </c>
      <c r="M35" s="3" t="s">
        <v>30</v>
      </c>
      <c r="N35" s="3" t="s">
        <v>35</v>
      </c>
      <c r="O35" s="3" t="s">
        <v>55</v>
      </c>
      <c r="P35" s="3" t="s">
        <v>59</v>
      </c>
      <c r="Q35" s="3" t="s">
        <v>33</v>
      </c>
      <c r="R35" s="3" t="s">
        <v>30</v>
      </c>
      <c r="S35" s="3" t="s">
        <v>72</v>
      </c>
      <c r="T35" s="3" t="s">
        <v>31</v>
      </c>
    </row>
    <row r="36" spans="1:20" ht="22.5" customHeight="1">
      <c r="A36" s="2">
        <v>45851.906905972224</v>
      </c>
      <c r="B36" s="3" t="s">
        <v>146</v>
      </c>
      <c r="C36" s="3">
        <v>18</v>
      </c>
      <c r="D36" s="3" t="s">
        <v>21</v>
      </c>
      <c r="E36" s="3" t="s">
        <v>22</v>
      </c>
      <c r="F36" s="3" t="s">
        <v>23</v>
      </c>
      <c r="G36" s="3" t="s">
        <v>24</v>
      </c>
      <c r="H36" s="3" t="s">
        <v>49</v>
      </c>
      <c r="I36" s="3" t="s">
        <v>103</v>
      </c>
      <c r="J36" s="3" t="s">
        <v>27</v>
      </c>
      <c r="K36" s="5" t="s">
        <v>44</v>
      </c>
      <c r="L36" s="3" t="s">
        <v>54</v>
      </c>
      <c r="M36" s="3" t="s">
        <v>30</v>
      </c>
      <c r="N36" s="3" t="s">
        <v>30</v>
      </c>
      <c r="O36" s="3" t="s">
        <v>37</v>
      </c>
      <c r="P36" s="3" t="s">
        <v>38</v>
      </c>
      <c r="Q36" s="3" t="s">
        <v>33</v>
      </c>
      <c r="R36" s="3" t="s">
        <v>27</v>
      </c>
      <c r="S36" s="3" t="s">
        <v>39</v>
      </c>
      <c r="T36" s="4"/>
    </row>
    <row r="37" spans="1:20" ht="22.5" customHeight="1">
      <c r="A37" s="2">
        <v>45851.913427349537</v>
      </c>
      <c r="B37" s="3" t="s">
        <v>147</v>
      </c>
      <c r="C37" s="3">
        <v>18</v>
      </c>
      <c r="D37" s="3" t="s">
        <v>21</v>
      </c>
      <c r="E37" s="3" t="s">
        <v>22</v>
      </c>
      <c r="F37" s="3" t="s">
        <v>42</v>
      </c>
      <c r="G37" s="3" t="s">
        <v>24</v>
      </c>
      <c r="H37" s="3" t="s">
        <v>43</v>
      </c>
      <c r="I37" s="3" t="s">
        <v>50</v>
      </c>
      <c r="J37" s="3" t="s">
        <v>27</v>
      </c>
      <c r="K37" s="3" t="s">
        <v>28</v>
      </c>
      <c r="L37" s="3" t="s">
        <v>36</v>
      </c>
      <c r="M37" s="3" t="s">
        <v>27</v>
      </c>
      <c r="N37" s="3" t="s">
        <v>35</v>
      </c>
      <c r="O37" s="3" t="s">
        <v>37</v>
      </c>
      <c r="P37" s="3" t="s">
        <v>38</v>
      </c>
      <c r="Q37" s="3" t="s">
        <v>33</v>
      </c>
      <c r="R37" s="3" t="s">
        <v>30</v>
      </c>
      <c r="S37" s="3" t="s">
        <v>39</v>
      </c>
      <c r="T37" s="3" t="s">
        <v>135</v>
      </c>
    </row>
    <row r="38" spans="1:20" ht="22.5" customHeight="1">
      <c r="A38" s="2">
        <v>45851.917968368056</v>
      </c>
      <c r="B38" s="3" t="s">
        <v>148</v>
      </c>
      <c r="C38" s="3">
        <v>18</v>
      </c>
      <c r="D38" s="3" t="s">
        <v>21</v>
      </c>
      <c r="E38" s="3" t="s">
        <v>22</v>
      </c>
      <c r="F38" s="3" t="s">
        <v>23</v>
      </c>
      <c r="G38" s="3" t="s">
        <v>24</v>
      </c>
      <c r="H38" s="3" t="s">
        <v>25</v>
      </c>
      <c r="I38" s="3" t="s">
        <v>26</v>
      </c>
      <c r="J38" s="3" t="s">
        <v>35</v>
      </c>
      <c r="K38" s="5" t="s">
        <v>44</v>
      </c>
      <c r="L38" s="3" t="s">
        <v>54</v>
      </c>
      <c r="M38" s="3" t="s">
        <v>27</v>
      </c>
      <c r="N38" s="3" t="s">
        <v>35</v>
      </c>
      <c r="O38" s="3" t="s">
        <v>37</v>
      </c>
      <c r="P38" s="3" t="s">
        <v>59</v>
      </c>
      <c r="Q38" s="3" t="s">
        <v>33</v>
      </c>
      <c r="R38" s="3" t="s">
        <v>27</v>
      </c>
      <c r="S38" s="3" t="s">
        <v>39</v>
      </c>
      <c r="T38" s="3" t="s">
        <v>135</v>
      </c>
    </row>
    <row r="39" spans="1:20" ht="22.5" customHeight="1">
      <c r="A39" s="2">
        <v>45851.921022905095</v>
      </c>
      <c r="B39" s="3" t="s">
        <v>149</v>
      </c>
      <c r="C39" s="3">
        <v>18</v>
      </c>
      <c r="D39" s="3" t="s">
        <v>21</v>
      </c>
      <c r="E39" s="3" t="s">
        <v>89</v>
      </c>
      <c r="F39" s="3" t="s">
        <v>150</v>
      </c>
      <c r="G39" s="3" t="s">
        <v>52</v>
      </c>
      <c r="H39" s="3" t="s">
        <v>43</v>
      </c>
      <c r="I39" s="3" t="s">
        <v>151</v>
      </c>
      <c r="J39" s="3" t="s">
        <v>35</v>
      </c>
      <c r="K39" s="5" t="s">
        <v>67</v>
      </c>
      <c r="L39" s="3" t="s">
        <v>54</v>
      </c>
      <c r="M39" s="3" t="s">
        <v>30</v>
      </c>
      <c r="N39" s="3" t="s">
        <v>35</v>
      </c>
      <c r="O39" s="3" t="s">
        <v>55</v>
      </c>
      <c r="P39" s="3" t="s">
        <v>38</v>
      </c>
      <c r="Q39" s="3" t="s">
        <v>33</v>
      </c>
      <c r="R39" s="3" t="s">
        <v>27</v>
      </c>
      <c r="S39" s="3" t="s">
        <v>39</v>
      </c>
      <c r="T39" s="3" t="s">
        <v>152</v>
      </c>
    </row>
    <row r="40" spans="1:20" ht="22.5" customHeight="1">
      <c r="A40" s="2">
        <v>45852.337492280094</v>
      </c>
      <c r="B40" s="3" t="s">
        <v>153</v>
      </c>
      <c r="C40" s="3">
        <v>18</v>
      </c>
      <c r="D40" s="3" t="s">
        <v>62</v>
      </c>
      <c r="E40" s="3" t="s">
        <v>22</v>
      </c>
      <c r="F40" s="3" t="s">
        <v>154</v>
      </c>
      <c r="G40" s="3" t="s">
        <v>52</v>
      </c>
      <c r="H40" s="3" t="s">
        <v>53</v>
      </c>
      <c r="I40" s="3" t="s">
        <v>26</v>
      </c>
      <c r="J40" s="3" t="s">
        <v>30</v>
      </c>
      <c r="K40" s="5" t="s">
        <v>67</v>
      </c>
      <c r="L40" s="3" t="s">
        <v>54</v>
      </c>
      <c r="M40" s="3" t="s">
        <v>30</v>
      </c>
      <c r="N40" s="3" t="s">
        <v>30</v>
      </c>
      <c r="O40" s="3" t="s">
        <v>55</v>
      </c>
      <c r="P40" s="3" t="s">
        <v>38</v>
      </c>
      <c r="Q40" s="3" t="s">
        <v>33</v>
      </c>
      <c r="R40" s="3" t="s">
        <v>30</v>
      </c>
      <c r="S40" s="3" t="s">
        <v>39</v>
      </c>
      <c r="T40" s="3" t="s">
        <v>155</v>
      </c>
    </row>
    <row r="41" spans="1:20" ht="22.5" customHeight="1">
      <c r="A41" s="2">
        <v>45852.62444792824</v>
      </c>
      <c r="B41" s="3" t="s">
        <v>156</v>
      </c>
      <c r="C41" s="3">
        <v>16</v>
      </c>
      <c r="D41" s="3" t="s">
        <v>62</v>
      </c>
      <c r="E41" s="3" t="s">
        <v>22</v>
      </c>
      <c r="F41" s="3" t="s">
        <v>129</v>
      </c>
      <c r="G41" s="3" t="s">
        <v>24</v>
      </c>
      <c r="H41" s="3" t="s">
        <v>53</v>
      </c>
      <c r="I41" s="3" t="s">
        <v>26</v>
      </c>
      <c r="J41" s="3" t="s">
        <v>35</v>
      </c>
      <c r="K41" s="5" t="s">
        <v>44</v>
      </c>
      <c r="L41" s="3" t="s">
        <v>29</v>
      </c>
      <c r="M41" s="3" t="s">
        <v>30</v>
      </c>
      <c r="N41" s="3" t="s">
        <v>35</v>
      </c>
      <c r="O41" s="3" t="s">
        <v>118</v>
      </c>
      <c r="P41" s="3" t="s">
        <v>98</v>
      </c>
      <c r="Q41" s="3" t="s">
        <v>56</v>
      </c>
      <c r="R41" s="3" t="s">
        <v>30</v>
      </c>
      <c r="S41" s="3" t="s">
        <v>34</v>
      </c>
      <c r="T41" s="3" t="s">
        <v>157</v>
      </c>
    </row>
    <row r="42" spans="1:20" ht="22.5" customHeight="1">
      <c r="A42" s="2">
        <v>45853.674387384264</v>
      </c>
      <c r="B42" s="3" t="s">
        <v>158</v>
      </c>
      <c r="C42" s="3">
        <v>18</v>
      </c>
      <c r="D42" s="3" t="s">
        <v>21</v>
      </c>
      <c r="E42" s="3" t="s">
        <v>22</v>
      </c>
      <c r="F42" s="3" t="s">
        <v>23</v>
      </c>
      <c r="G42" s="3" t="s">
        <v>52</v>
      </c>
      <c r="H42" s="3" t="s">
        <v>53</v>
      </c>
      <c r="I42" s="3" t="s">
        <v>26</v>
      </c>
      <c r="J42" s="3" t="s">
        <v>30</v>
      </c>
      <c r="K42" s="5" t="s">
        <v>67</v>
      </c>
      <c r="L42" s="3" t="s">
        <v>54</v>
      </c>
      <c r="M42" s="3" t="s">
        <v>27</v>
      </c>
      <c r="N42" s="3" t="s">
        <v>35</v>
      </c>
      <c r="O42" s="3" t="s">
        <v>37</v>
      </c>
      <c r="P42" s="3" t="s">
        <v>38</v>
      </c>
      <c r="Q42" s="3" t="s">
        <v>33</v>
      </c>
      <c r="R42" s="3" t="s">
        <v>27</v>
      </c>
      <c r="S42" s="3" t="s">
        <v>72</v>
      </c>
      <c r="T42" s="3" t="s">
        <v>159</v>
      </c>
    </row>
  </sheetData>
  <hyperlinks>
    <hyperlink ref="G17" r:id="rId1"/>
    <hyperlink ref="G29" r:id="rId2"/>
    <hyperlink ref="G32" r:id="rId3"/>
    <hyperlink ref="G33" r:id="rId4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7" sqref="B7"/>
    </sheetView>
  </sheetViews>
  <sheetFormatPr defaultRowHeight="12.5"/>
  <cols>
    <col min="2" max="2" width="10.36328125" bestFit="1" customWidth="1"/>
  </cols>
  <sheetData>
    <row r="1" spans="1:2">
      <c r="A1" t="s">
        <v>236</v>
      </c>
      <c r="B1" s="9">
        <f>SUM(Sheet1__3[Study_Hours])</f>
        <v>95.5</v>
      </c>
    </row>
    <row r="2" spans="1:2">
      <c r="A2" t="s">
        <v>237</v>
      </c>
      <c r="B2" s="9">
        <f>AVERAGE(Sheet1__3[Study_Hours])</f>
        <v>2.513157894736842</v>
      </c>
    </row>
    <row r="3" spans="1:2">
      <c r="A3" t="s">
        <v>219</v>
      </c>
      <c r="B3" s="9">
        <f>MEDIAN(Sheet1__3[Study_Hours])</f>
        <v>1.5</v>
      </c>
    </row>
    <row r="5" spans="1:2">
      <c r="A5" t="s">
        <v>238</v>
      </c>
      <c r="B5" s="9">
        <f>PRODUCT(B2,7)</f>
        <v>17.592105263157894</v>
      </c>
    </row>
    <row r="7" spans="1:2">
      <c r="A7" t="s">
        <v>244</v>
      </c>
      <c r="B7" s="9">
        <f>_xlfn.STDEV.P(Sheet1__3[Study_Hours])</f>
        <v>1.587313362859192</v>
      </c>
    </row>
    <row r="9" spans="1:2">
      <c r="A9" t="s">
        <v>245</v>
      </c>
      <c r="B9" s="30">
        <f>COUNTIF(Sheet1__3[Stress],"Yes")/COUNTA(Sheet1__3[Name])</f>
        <v>0.55263157894736847</v>
      </c>
    </row>
    <row r="11" spans="1:2">
      <c r="A11" t="s">
        <v>246</v>
      </c>
      <c r="B11">
        <f>_xlfn.PERCENTILE.INC(Sheet1__3[Study_Hours],0.9)</f>
        <v>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K22" sqref="K22"/>
    </sheetView>
  </sheetViews>
  <sheetFormatPr defaultRowHeight="12.5"/>
  <cols>
    <col min="1" max="1" width="10.36328125" customWidth="1"/>
    <col min="2" max="2" width="33.453125" bestFit="1" customWidth="1"/>
  </cols>
  <sheetData>
    <row r="3" spans="1:2">
      <c r="A3" s="13" t="s">
        <v>229</v>
      </c>
      <c r="B3" s="14" t="s">
        <v>243</v>
      </c>
    </row>
    <row r="4" spans="1:2">
      <c r="A4" s="15" t="s">
        <v>27</v>
      </c>
      <c r="B4" s="23">
        <v>3.5</v>
      </c>
    </row>
    <row r="5" spans="1:2">
      <c r="A5" s="17" t="s">
        <v>35</v>
      </c>
      <c r="B5" s="21">
        <v>2</v>
      </c>
    </row>
    <row r="6" spans="1:2">
      <c r="A6" s="17" t="s">
        <v>30</v>
      </c>
      <c r="B6" s="21">
        <v>2.7142857142857144</v>
      </c>
    </row>
    <row r="7" spans="1:2">
      <c r="A7" s="19" t="s">
        <v>242</v>
      </c>
      <c r="B7" s="22">
        <v>2.513157894736842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17" sqref="A17"/>
    </sheetView>
  </sheetViews>
  <sheetFormatPr defaultRowHeight="12.5"/>
  <cols>
    <col min="1" max="1" width="11.7265625" customWidth="1"/>
    <col min="2" max="2" width="14.90625" customWidth="1"/>
    <col min="3" max="3" width="10.1796875" bestFit="1" customWidth="1"/>
  </cols>
  <sheetData>
    <row r="3" spans="1:2">
      <c r="A3" s="13" t="s">
        <v>247</v>
      </c>
      <c r="B3" s="14" t="s">
        <v>248</v>
      </c>
    </row>
    <row r="4" spans="1:2">
      <c r="A4" s="15" t="s">
        <v>240</v>
      </c>
      <c r="B4" s="16">
        <v>14</v>
      </c>
    </row>
    <row r="5" spans="1:2">
      <c r="A5" s="17" t="s">
        <v>239</v>
      </c>
      <c r="B5" s="18">
        <v>24</v>
      </c>
    </row>
    <row r="6" spans="1:2">
      <c r="A6" s="19" t="s">
        <v>242</v>
      </c>
      <c r="B6" s="20">
        <v>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workbookViewId="0">
      <selection activeCell="E11" sqref="A3:E11"/>
    </sheetView>
  </sheetViews>
  <sheetFormatPr defaultRowHeight="12.5"/>
  <cols>
    <col min="1" max="1" width="20.453125" bestFit="1" customWidth="1"/>
    <col min="2" max="2" width="14.81640625" customWidth="1"/>
    <col min="3" max="5" width="11.81640625" bestFit="1" customWidth="1"/>
  </cols>
  <sheetData>
    <row r="3" spans="1:5">
      <c r="A3" s="13" t="s">
        <v>254</v>
      </c>
      <c r="B3" s="13" t="s">
        <v>253</v>
      </c>
      <c r="C3" s="11"/>
      <c r="D3" s="11"/>
      <c r="E3" s="12"/>
    </row>
    <row r="4" spans="1:5">
      <c r="A4" s="13" t="s">
        <v>252</v>
      </c>
      <c r="B4" s="10" t="s">
        <v>27</v>
      </c>
      <c r="C4" s="25" t="s">
        <v>35</v>
      </c>
      <c r="D4" s="25" t="s">
        <v>30</v>
      </c>
      <c r="E4" s="14" t="s">
        <v>242</v>
      </c>
    </row>
    <row r="5" spans="1:5">
      <c r="A5" s="15" t="s">
        <v>52</v>
      </c>
      <c r="B5" s="32">
        <v>5</v>
      </c>
      <c r="C5" s="33">
        <v>3.3333333333333335</v>
      </c>
      <c r="D5" s="33">
        <v>2.7</v>
      </c>
      <c r="E5" s="24">
        <v>3.1666666666666665</v>
      </c>
    </row>
    <row r="6" spans="1:5">
      <c r="A6" s="17" t="s">
        <v>130</v>
      </c>
      <c r="B6" s="26"/>
      <c r="C6" s="27"/>
      <c r="D6" s="27">
        <v>3</v>
      </c>
      <c r="E6" s="21">
        <v>3</v>
      </c>
    </row>
    <row r="7" spans="1:5">
      <c r="A7" s="17" t="s">
        <v>24</v>
      </c>
      <c r="B7" s="26">
        <v>1</v>
      </c>
      <c r="C7" s="27">
        <v>1.6363636363636365</v>
      </c>
      <c r="D7" s="27">
        <v>2.1818181818181817</v>
      </c>
      <c r="E7" s="21">
        <v>1.8695652173913044</v>
      </c>
    </row>
    <row r="8" spans="1:5">
      <c r="A8" s="17" t="s">
        <v>91</v>
      </c>
      <c r="B8" s="26">
        <v>4.5</v>
      </c>
      <c r="C8" s="27"/>
      <c r="D8" s="27">
        <v>4.5</v>
      </c>
      <c r="E8" s="21">
        <v>4.5</v>
      </c>
    </row>
    <row r="9" spans="1:5">
      <c r="A9" s="17" t="s">
        <v>65</v>
      </c>
      <c r="B9" s="26"/>
      <c r="C9" s="27"/>
      <c r="D9" s="27">
        <v>4.5</v>
      </c>
      <c r="E9" s="21">
        <v>4.5</v>
      </c>
    </row>
    <row r="10" spans="1:5">
      <c r="A10" s="19" t="s">
        <v>242</v>
      </c>
      <c r="B10" s="28">
        <v>3.5</v>
      </c>
      <c r="C10" s="29">
        <v>2</v>
      </c>
      <c r="D10" s="29">
        <v>2.7142857142857144</v>
      </c>
      <c r="E10" s="22">
        <v>2.513157894736842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80" workbookViewId="0">
      <selection activeCell="L10" sqref="L10"/>
    </sheetView>
  </sheetViews>
  <sheetFormatPr defaultRowHeight="12.5"/>
  <cols>
    <col min="1" max="1" width="17.54296875" customWidth="1"/>
    <col min="6" max="6" width="15.36328125" customWidth="1"/>
  </cols>
  <sheetData>
    <row r="1" spans="1:9" ht="31">
      <c r="A1" s="34" t="s">
        <v>255</v>
      </c>
      <c r="B1" s="34"/>
      <c r="C1" s="34"/>
      <c r="D1" s="34"/>
      <c r="E1" s="34"/>
      <c r="F1" s="34"/>
      <c r="G1" s="34"/>
      <c r="H1" s="34"/>
      <c r="I1" s="34"/>
    </row>
    <row r="18" spans="6:7">
      <c r="F18" s="31" t="s">
        <v>249</v>
      </c>
      <c r="G18">
        <f>COUNTA(Sheet1__3[Name])</f>
        <v>38</v>
      </c>
    </row>
    <row r="19" spans="6:7">
      <c r="F19" s="31" t="s">
        <v>236</v>
      </c>
      <c r="G19" s="9">
        <f>SUM(Sheet1__3[Study_Hours])</f>
        <v>95.5</v>
      </c>
    </row>
    <row r="20" spans="6:7">
      <c r="F20" s="31" t="s">
        <v>250</v>
      </c>
      <c r="G20" s="9">
        <f>AVERAGE(Sheet1__3[Study_Hours])</f>
        <v>2.513157894736842</v>
      </c>
    </row>
    <row r="21" spans="6:7">
      <c r="F21" s="31" t="s">
        <v>251</v>
      </c>
      <c r="G21" s="9">
        <f>MEDIAN(Sheet1__3[Study_Hours])</f>
        <v>1.5</v>
      </c>
    </row>
    <row r="22" spans="6:7">
      <c r="F22" s="31" t="s">
        <v>244</v>
      </c>
      <c r="G22" s="9">
        <f>_xlfn.STDEV.P(Sheet1__3[Study_Hours])</f>
        <v>1.587313362859192</v>
      </c>
    </row>
  </sheetData>
  <mergeCells count="1">
    <mergeCell ref="A1:I1"/>
  </mergeCells>
  <pageMargins left="0.7" right="0.7" top="0.75" bottom="0.75" header="0.3" footer="0.3"/>
  <pageSetup orientation="portrait" horizontalDpi="30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99A749-08E0-43B2-B88B-5F89753E2A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Form Responses 1</vt:lpstr>
      <vt:lpstr>Anlaysis</vt:lpstr>
      <vt:lpstr>pivot analysis</vt:lpstr>
      <vt:lpstr>Count of student on study level</vt:lpstr>
      <vt:lpstr>course stress and average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2026-02-01T06:35:49Z</dcterms:modified>
</cp:coreProperties>
</file>